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obelridler/Downloads/githubTester/Mood-OppCost/data/"/>
    </mc:Choice>
  </mc:AlternateContent>
  <xr:revisionPtr revIDLastSave="0" documentId="13_ncr:1_{84C8E6F9-DEEE-8A4C-B708-8CC43FDDBC42}" xr6:coauthVersionLast="47" xr6:coauthVersionMax="47" xr10:uidLastSave="{00000000-0000-0000-0000-000000000000}"/>
  <bookViews>
    <workbookView xWindow="1080" yWindow="1060" windowWidth="27640" windowHeight="16360" xr2:uid="{DC324ADB-B303-4648-BE43-7DA8A6AC98AA}"/>
  </bookViews>
  <sheets>
    <sheet name="Sheet1" sheetId="1" r:id="rId1"/>
    <sheet name="data_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C24" i="2"/>
  <c r="H22" i="2"/>
  <c r="I22" i="2"/>
  <c r="J22" i="2"/>
  <c r="K22" i="2"/>
  <c r="L22" i="2"/>
  <c r="C6" i="2"/>
  <c r="C7" i="2"/>
  <c r="C8" i="2"/>
  <c r="C9" i="2"/>
  <c r="C10" i="2"/>
  <c r="C11" i="2"/>
  <c r="C12" i="2"/>
  <c r="C13" i="2"/>
  <c r="C14" i="2"/>
  <c r="C15" i="2"/>
  <c r="C17" i="2"/>
  <c r="C18" i="2"/>
  <c r="C5" i="2"/>
  <c r="D5" i="2"/>
  <c r="P13" i="2"/>
  <c r="P6" i="2"/>
  <c r="P7" i="2"/>
  <c r="P9" i="2"/>
  <c r="P11" i="2"/>
  <c r="P12" i="2"/>
  <c r="P14" i="2"/>
  <c r="P15" i="2"/>
  <c r="P16" i="2"/>
  <c r="P17" i="2"/>
  <c r="P18" i="2"/>
  <c r="P21" i="2"/>
  <c r="P23" i="2"/>
  <c r="P24" i="2"/>
  <c r="P5" i="2"/>
  <c r="O5" i="2"/>
  <c r="O6" i="2" l="1"/>
  <c r="O7" i="2"/>
  <c r="O9" i="2"/>
  <c r="O11" i="2"/>
  <c r="O12" i="2"/>
  <c r="O13" i="2"/>
  <c r="O14" i="2"/>
  <c r="O15" i="2"/>
  <c r="O16" i="2"/>
  <c r="O17" i="2"/>
  <c r="O18" i="2"/>
  <c r="O21" i="2"/>
  <c r="O23" i="2"/>
  <c r="O24" i="2"/>
  <c r="N5" i="2"/>
  <c r="N9" i="2"/>
  <c r="N11" i="2"/>
  <c r="N12" i="2"/>
  <c r="N13" i="2"/>
  <c r="N14" i="2"/>
  <c r="N15" i="2"/>
  <c r="N16" i="2"/>
  <c r="N17" i="2"/>
  <c r="N18" i="2"/>
  <c r="N21" i="2"/>
  <c r="N23" i="2"/>
  <c r="N24" i="2"/>
  <c r="N6" i="2"/>
  <c r="N7" i="2"/>
  <c r="M5" i="2"/>
  <c r="H24" i="2"/>
  <c r="L24" i="2"/>
  <c r="K24" i="2"/>
  <c r="J24" i="2"/>
  <c r="I2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0" i="2"/>
  <c r="I21" i="2"/>
  <c r="I5" i="2"/>
  <c r="J5" i="2"/>
  <c r="M24" i="2"/>
  <c r="M23" i="2"/>
  <c r="M6" i="2"/>
  <c r="M7" i="2"/>
  <c r="M9" i="2"/>
  <c r="M11" i="2"/>
  <c r="M12" i="2"/>
  <c r="M13" i="2"/>
  <c r="M14" i="2"/>
  <c r="M15" i="2"/>
  <c r="M16" i="2"/>
  <c r="M17" i="2"/>
  <c r="M18" i="2"/>
  <c r="M21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0" i="2"/>
  <c r="H21" i="2"/>
  <c r="H5" i="2"/>
  <c r="G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5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20" i="2"/>
  <c r="K21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20" i="2"/>
  <c r="J21" i="2"/>
  <c r="G16" i="2"/>
  <c r="D20" i="2"/>
  <c r="E20" i="2"/>
  <c r="F20" i="2"/>
  <c r="G20" i="2"/>
  <c r="D19" i="2"/>
  <c r="E19" i="2"/>
  <c r="F19" i="2"/>
  <c r="G19" i="2"/>
  <c r="D18" i="2"/>
  <c r="E18" i="2"/>
  <c r="F18" i="2"/>
  <c r="G18" i="2"/>
  <c r="D17" i="2"/>
  <c r="E17" i="2"/>
  <c r="F17" i="2"/>
  <c r="G17" i="2"/>
  <c r="D13" i="2"/>
  <c r="D12" i="2"/>
  <c r="D6" i="2"/>
  <c r="D7" i="2"/>
  <c r="D8" i="2"/>
  <c r="D9" i="2"/>
  <c r="D10" i="2"/>
  <c r="D11" i="2"/>
  <c r="D14" i="2"/>
  <c r="D15" i="2"/>
  <c r="E6" i="2"/>
  <c r="E7" i="2"/>
  <c r="E8" i="2"/>
  <c r="E9" i="2"/>
  <c r="E10" i="2"/>
  <c r="E11" i="2"/>
  <c r="E12" i="2"/>
  <c r="E13" i="2"/>
  <c r="E14" i="2"/>
  <c r="E15" i="2"/>
  <c r="E5" i="2"/>
  <c r="G6" i="2"/>
  <c r="G7" i="2"/>
  <c r="G8" i="2"/>
  <c r="G9" i="2"/>
  <c r="G10" i="2"/>
  <c r="G11" i="2"/>
  <c r="G12" i="2"/>
  <c r="G13" i="2"/>
  <c r="G14" i="2"/>
  <c r="G15" i="2"/>
  <c r="F5" i="2"/>
  <c r="F6" i="2"/>
  <c r="F7" i="2"/>
  <c r="F8" i="2"/>
  <c r="F9" i="2"/>
  <c r="F10" i="2"/>
  <c r="F11" i="2"/>
  <c r="F12" i="2"/>
  <c r="F13" i="2"/>
  <c r="F14" i="2"/>
  <c r="F15" i="2"/>
</calcChain>
</file>

<file path=xl/sharedStrings.xml><?xml version="1.0" encoding="utf-8"?>
<sst xmlns="http://schemas.openxmlformats.org/spreadsheetml/2006/main" count="279" uniqueCount="185">
  <si>
    <t>Study_links</t>
  </si>
  <si>
    <t>Study_detail</t>
  </si>
  <si>
    <t>Participants_completed</t>
  </si>
  <si>
    <t>Experiment_version</t>
  </si>
  <si>
    <t>Testable Minds</t>
  </si>
  <si>
    <t>Experiment_name</t>
  </si>
  <si>
    <t>Prolific</t>
  </si>
  <si>
    <t>Project_name</t>
  </si>
  <si>
    <t>MDoT Gamble AMT</t>
  </si>
  <si>
    <t>https://app.gorilla.sc/admin/experiment/142246</t>
  </si>
  <si>
    <t>MDoT Gamble XS AMT</t>
  </si>
  <si>
    <t>https://app.gorilla.sc/admin/experiment/142342</t>
  </si>
  <si>
    <t>MDoT OppCost WP AMT</t>
  </si>
  <si>
    <t>https://app.gorilla.sc/admin/experiment/144339</t>
  </si>
  <si>
    <t>MDoT v2</t>
  </si>
  <si>
    <t xml:space="preserve">classic mood ratings; rest + gambling </t>
  </si>
  <si>
    <t>balanced random assignment to High-Low or Low-High opp cost rest tasks</t>
  </si>
  <si>
    <t>AMT</t>
  </si>
  <si>
    <t>MDoT Gamble Pilot</t>
  </si>
  <si>
    <t>https://app.gorilla.sc/admin/experiment/140895</t>
  </si>
  <si>
    <t>mood change rather than classic ratings; rest + gambling</t>
  </si>
  <si>
    <t>MDoT Pilot</t>
  </si>
  <si>
    <t>https://app.gorilla.sc/admin/experiment/139266</t>
  </si>
  <si>
    <t xml:space="preserve"> PILOT: balanced random assignment to classic or mood change ratings; rest and VM task</t>
  </si>
  <si>
    <t xml:space="preserve"> PILOT: balanced random assignment to classic or mood change ratings; rest and VM task; at least two attention checks failed</t>
  </si>
  <si>
    <t>SUP_AMT</t>
  </si>
  <si>
    <t>study_platform_exp_v#</t>
  </si>
  <si>
    <t>psychosis_scr</t>
  </si>
  <si>
    <t>clinical_srv</t>
  </si>
  <si>
    <t>asrs</t>
  </si>
  <si>
    <t>mdq</t>
  </si>
  <si>
    <t>lsas_sr</t>
  </si>
  <si>
    <t>dudit</t>
  </si>
  <si>
    <t>biq</t>
  </si>
  <si>
    <t>ari</t>
  </si>
  <si>
    <t>audit</t>
  </si>
  <si>
    <t>life_happ</t>
  </si>
  <si>
    <t>ces_d</t>
  </si>
  <si>
    <t>sup_amt_mdot_oc_rest_gamble_v8_</t>
  </si>
  <si>
    <t>sup_amt_mdot_oc_rest_gamble_xs_v3_</t>
  </si>
  <si>
    <t>t3_v3</t>
  </si>
  <si>
    <t>t3_v5</t>
  </si>
  <si>
    <t>t1_v8</t>
  </si>
  <si>
    <t>t2_v3</t>
  </si>
  <si>
    <t>sup_amt_mdot_oc_rest2_v3_v5</t>
  </si>
  <si>
    <t>attcheck1</t>
  </si>
  <si>
    <t>attcheck2</t>
  </si>
  <si>
    <t>feedback</t>
  </si>
  <si>
    <t>workerID</t>
  </si>
  <si>
    <t>sup_amt_mdot_oc_rest2_v5_botcheck</t>
  </si>
  <si>
    <t>Root names</t>
  </si>
  <si>
    <t>naming convention</t>
  </si>
  <si>
    <t>Study_name</t>
  </si>
  <si>
    <t>mdot_oc_rest_gamble</t>
  </si>
  <si>
    <t>mdot_oc_rest_gamble_xs</t>
  </si>
  <si>
    <t>Project_owner_gorilla</t>
  </si>
  <si>
    <t>Questionnaire names</t>
  </si>
  <si>
    <t>asa</t>
  </si>
  <si>
    <t>MDoT OppCost RestOnly PRF</t>
  </si>
  <si>
    <t>mdot_oc_rest_only</t>
  </si>
  <si>
    <t>https://app.gorilla.sc/admin/experiment/149691</t>
  </si>
  <si>
    <t>classic mood ratings; rest</t>
  </si>
  <si>
    <t>MDoT OppCost MonetaryOC PRF</t>
  </si>
  <si>
    <t>MDoT MonetaryOC PRF 2Blocks</t>
  </si>
  <si>
    <t>https://app.gorilla.sc/admin/experiment/152734</t>
  </si>
  <si>
    <t>https://app.gorilla.sc/admin/experiment/163173</t>
  </si>
  <si>
    <t>15/16</t>
  </si>
  <si>
    <t>initlook_pav_ro.R</t>
  </si>
  <si>
    <t>initlook_pav_xs.R</t>
  </si>
  <si>
    <t>initlook_pav.R</t>
  </si>
  <si>
    <t>initlook_pav_wp.R</t>
  </si>
  <si>
    <t>gorilla_monetaryOC.Rmd</t>
  </si>
  <si>
    <t>gorilla_monetaryOC_2B.Rmd</t>
  </si>
  <si>
    <t>prf_mdot_oc_rest_only_v4_</t>
  </si>
  <si>
    <t>RO</t>
  </si>
  <si>
    <t>botcheck</t>
  </si>
  <si>
    <t>prf_mdot_mon_oc_rest_gamble_v15_</t>
  </si>
  <si>
    <t>prf_mdot_mon_oc_rest_gamble_v16_</t>
  </si>
  <si>
    <t>MonOC_v15</t>
  </si>
  <si>
    <t>MonOC_v16</t>
  </si>
  <si>
    <t>prf_mdot_mon_oc_rest_gamble_2B_v5_</t>
  </si>
  <si>
    <t>MonOC_2B</t>
  </si>
  <si>
    <t>Participants_usable</t>
  </si>
  <si>
    <t>MDoT OCT PRF</t>
  </si>
  <si>
    <t>mdot_oc_t_rest_4R</t>
  </si>
  <si>
    <t>https://app.gorilla.sc/admin/experiment/178265</t>
  </si>
  <si>
    <t>PILOT: classic mood rating; OC of time; 4 rounds of rest for different amounts of time</t>
  </si>
  <si>
    <t>OCT_4R</t>
  </si>
  <si>
    <t>prf_mdot_oc_t_rest_4R_v9_</t>
  </si>
  <si>
    <t>gad7</t>
  </si>
  <si>
    <t>consent</t>
  </si>
  <si>
    <t>sup_amt_mdot_oc_wp_lh_hl_rest_v3_</t>
  </si>
  <si>
    <t>sup_amt_mdot_oc_wp_lh_hl_rest_v5_</t>
  </si>
  <si>
    <t>mdot_oc_wp_lh_hl_rest</t>
  </si>
  <si>
    <t>prf_mdot_mon_oc_rest_gamble_v7_</t>
  </si>
  <si>
    <t>MonOC_v7</t>
  </si>
  <si>
    <t>NB: error in exp but usable questionnaire data</t>
  </si>
  <si>
    <t>MDoT OCT 2R + Gambling PRF</t>
  </si>
  <si>
    <t>Summary_OCT_4R.Rmd</t>
  </si>
  <si>
    <t>https://app.gorilla.sc/admin/experiment/187387</t>
  </si>
  <si>
    <t>final experiment: classic mood rating; OCT; 2 rounds of rest for 6mins; updated gambling task</t>
  </si>
  <si>
    <t>OCT_2R_Gamb</t>
  </si>
  <si>
    <t>prf_mdot_oc_t_rest_2R_gamble_v9_</t>
  </si>
  <si>
    <t>prf_mdot_oc_t_rest_2R_gamble_v10_</t>
  </si>
  <si>
    <t>prf_mdot_oc_t_rest_2R_gamble</t>
  </si>
  <si>
    <t>Summary_OCT_2R_Gamble.Rmd</t>
  </si>
  <si>
    <t>MDoT OCT 2R + Gambling PRF FINAL</t>
  </si>
  <si>
    <t>https://app.gorilla.sc/admin/experiment/193496</t>
  </si>
  <si>
    <t>OCT_2R_Gamb_FIN</t>
  </si>
  <si>
    <t>FirstAnalysis_OCT_2R.Rmd</t>
  </si>
  <si>
    <t>prf_mdot_oct_rest_2R_gamble_v6_</t>
  </si>
  <si>
    <t>9/10</t>
  </si>
  <si>
    <t>NB: error in exp for OCT but usable data for other studies</t>
  </si>
  <si>
    <t>MDPRF</t>
  </si>
  <si>
    <t>Data Collection Dates</t>
  </si>
  <si>
    <t>24/09/2024—04/10/2024</t>
  </si>
  <si>
    <t>01/11/2024—05/11/2024</t>
  </si>
  <si>
    <t>14/02/2024—16/02/2024</t>
  </si>
  <si>
    <t>30/10/2023—01/11/2023</t>
  </si>
  <si>
    <t>15/08/2023—29/08/2023</t>
  </si>
  <si>
    <t>25/09/2023—28/09/2023</t>
  </si>
  <si>
    <t>28/09/2023—30/09/2023</t>
  </si>
  <si>
    <t>added within-Gorilla consent, bot check, and ASA</t>
  </si>
  <si>
    <t>07/09/2023—26/09/2023</t>
  </si>
  <si>
    <t>06/09/2023—26/09/2023</t>
  </si>
  <si>
    <t>Collected By</t>
  </si>
  <si>
    <t>IR</t>
  </si>
  <si>
    <t>platform_exp_v#</t>
  </si>
  <si>
    <t xml:space="preserve"> Data_name_root</t>
  </si>
  <si>
    <t>Recruitment platform</t>
  </si>
  <si>
    <t>Task platform</t>
  </si>
  <si>
    <t>PsychoPy</t>
  </si>
  <si>
    <t>Gorilla</t>
  </si>
  <si>
    <t>Experiment platform</t>
  </si>
  <si>
    <t>Explanation</t>
  </si>
  <si>
    <t>screening questions for psychosis</t>
  </si>
  <si>
    <t>Adult ADHD Self Report Scale (ASRS) – ADHD</t>
  </si>
  <si>
    <t>Mood Disorder Questionnaire (MDQ) – bipolar spectrum disorder</t>
  </si>
  <si>
    <t>Liebowitz Social Anxiety Scale for Adults (LSAS) – social anxiety</t>
  </si>
  <si>
    <t>Drug Use Disorders Identification Test (DUDIT) – drug use disorder</t>
  </si>
  <si>
    <t>Body Image Checklist (BIQ) – body dysmorphic disorder</t>
  </si>
  <si>
    <t>life happiness question: Taken all together, how happy are you with your life these days?</t>
  </si>
  <si>
    <t>Center for Epidemiologic Studies Depression Scale (CES-D) – depression</t>
  </si>
  <si>
    <t>clinical survey including age, sex assigned at birth, gender, mental health diagnosis, medication, dose</t>
  </si>
  <si>
    <t>Alcohol use disorders identification test (AUDIT) – alcohol use disorder</t>
  </si>
  <si>
    <t>Affective Reactivity Index (ARI) – irritability</t>
  </si>
  <si>
    <t>Anhedonia Scale for Adolescents (ASA) – anhedonia</t>
  </si>
  <si>
    <t>attention checks</t>
  </si>
  <si>
    <t>feedback as task</t>
  </si>
  <si>
    <t>bot check</t>
  </si>
  <si>
    <t>Generalised Anxiety Disorder Questionnaire (GAD-7) – generalised anxiety disorder</t>
  </si>
  <si>
    <t>worker ID</t>
  </si>
  <si>
    <t>consent form asked within Gorilla experiment rather than just on recruitment platform</t>
  </si>
  <si>
    <t>Data_links</t>
  </si>
  <si>
    <t>https://github.com/transatlantic-comppsych/Mood-OppCost/tree/main/data/mdot_prf_oc_rest_only</t>
  </si>
  <si>
    <t>https://github.com/transatlantic-comppsych/Mood-OppCost/tree/main/data/mdot_prf_oc_mon_gamb</t>
  </si>
  <si>
    <t>https://github.com/transatlantic-comppsych/Mood-OppCost/tree/main/data/mdot_prf_oc_mon_gamb_2B</t>
  </si>
  <si>
    <t>https://github.com/transatlantic-comppsych/Mood-OppCost/tree/main/data/mdot_prf_oc_t</t>
  </si>
  <si>
    <t>https://github.com/transatlantic-comppsych/Mood-OppCost/tree/main/data/mdot_prf_oc_t_gamble/MAIN</t>
  </si>
  <si>
    <t>https://github.com/transatlantic-comppsych/Mood-OppCost/tree/main/data/mdot_prf_oc_t_gamble/prf_mdot_oct_rest_2R_gamble_v6</t>
  </si>
  <si>
    <t>https://github.com/transatlantic-comppsych/Mood-OppCost/tree/main/data/sup_amt_mdot_oc_rest_gamble</t>
  </si>
  <si>
    <t>https://github.com/transatlantic-comppsych/Mood-OppCost/tree/main/data/sup_amt_mdot_oc_rest_gamble_xs</t>
  </si>
  <si>
    <t>https://github.com/transatlantic-comppsych/Mood-OppCost/tree/main/data/sup_amt_mdot_oc_wp_lh_hl_rest</t>
  </si>
  <si>
    <t>NA</t>
  </si>
  <si>
    <t>classic mood ratings; monetary OC; rest (3 blocks) [error in exp but usable questionnaire data]</t>
  </si>
  <si>
    <t>classic mood ratings; monetary OC; rest (3 blocks) + gambling</t>
  </si>
  <si>
    <t>classic mood ratings; monetary OC; rest (2 blocks) + gambling</t>
  </si>
  <si>
    <t>prf_mdot_mon_oc_rest</t>
  </si>
  <si>
    <t>prf_mdot_mon_oc_rest_gamble</t>
  </si>
  <si>
    <t>prf_mdot_mon_oc_rest_gamble_2B</t>
  </si>
  <si>
    <t>06/12/2023—07/12/2023</t>
  </si>
  <si>
    <t xml:space="preserve"> </t>
  </si>
  <si>
    <t>https://github.com/transatlantic-comppsych/Mood-OppCost/tree/main/data/mdot_prf_oc_mon_gamb/prf_mdot_mon_oc_rest_gamble_v7</t>
  </si>
  <si>
    <t>prf_mdot_rest_gamble_pilot</t>
  </si>
  <si>
    <t>tsb_mdot_rest_vm_pilot</t>
  </si>
  <si>
    <t>MDTSB</t>
  </si>
  <si>
    <t>9/11</t>
  </si>
  <si>
    <t>pilot_prf</t>
  </si>
  <si>
    <t>minispin</t>
  </si>
  <si>
    <t>mini-SPIN – brief screening assessment for generalized social anxiety disorder</t>
  </si>
  <si>
    <t>https://github.com/transatlantic-comppsych/Mood-OppCost/tree/main/data/prf_mdot_rest_gamble_pilot</t>
  </si>
  <si>
    <t>prf_mdot_rest_vm_gamble_pilot_v9v11_</t>
  </si>
  <si>
    <t>only local</t>
  </si>
  <si>
    <t>initlook_copy.R</t>
  </si>
  <si>
    <t>R_script_name (on request)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</si>
</sst>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4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6" fillId="0" borderId="0" xfId="0" applyFont="1" applyAlignment="1">
      <alignment horizontal="left" vertic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 applyFill="1"/>
    <xf numFmtId="0" fontId="6" fillId="0" borderId="0" xfId="1" applyFont="1" applyFill="1"/>
    <xf numFmtId="0" fontId="3" fillId="0" borderId="0" xfId="0" applyFont="1" applyAlignment="1">
      <alignment horizontal="left"/>
    </xf>
    <xf numFmtId="0" fontId="2" fillId="0" borderId="0" xfId="1" applyFill="1" applyAlignment="1">
      <alignment horizontal="center"/>
    </xf>
    <xf numFmtId="0" fontId="7" fillId="0" borderId="0" xfId="1" applyFont="1" applyFill="1" applyAlignment="1">
      <alignment horizontal="left"/>
    </xf>
    <xf numFmtId="0" fontId="2" fillId="0" borderId="0" xfId="1" applyAlignment="1">
      <alignment horizontal="left" vertical="center"/>
    </xf>
    <xf numFmtId="0" fontId="6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gorilla.sc/admin/experiment/152734" TargetMode="External"/><Relationship Id="rId18" Type="http://schemas.openxmlformats.org/officeDocument/2006/relationships/hyperlink" Target="https://app.gorilla.sc/admin/experiment/178265" TargetMode="External"/><Relationship Id="rId26" Type="http://schemas.openxmlformats.org/officeDocument/2006/relationships/hyperlink" Target="https://app.gorilla.sc/admin/experiment/140895" TargetMode="External"/><Relationship Id="rId39" Type="http://schemas.openxmlformats.org/officeDocument/2006/relationships/hyperlink" Target="https://github.com/transatlantic-comppsych/Mood-OppCost/tree/main/data/mdot_prf_oc_t_gamble/prf_mdot_oct_rest_2R_gamble_v6" TargetMode="External"/><Relationship Id="rId21" Type="http://schemas.openxmlformats.org/officeDocument/2006/relationships/hyperlink" Target="https://app.gorilla.sc/admin/project/102057" TargetMode="External"/><Relationship Id="rId34" Type="http://schemas.openxmlformats.org/officeDocument/2006/relationships/hyperlink" Target="https://github.com/transatlantic-comppsych/Mood-OppCost/tree/main/data/mdot_prf_oc_rest_only" TargetMode="External"/><Relationship Id="rId42" Type="http://schemas.openxmlformats.org/officeDocument/2006/relationships/hyperlink" Target="https://github.com/transatlantic-comppsych/Mood-OppCost/tree/main/data/sup_amt_mdot_oc_wp_lh_hl_rest" TargetMode="External"/><Relationship Id="rId47" Type="http://schemas.openxmlformats.org/officeDocument/2006/relationships/hyperlink" Target="https://app.gorilla.sc/admin/experiment/139266" TargetMode="External"/><Relationship Id="rId50" Type="http://schemas.openxmlformats.org/officeDocument/2006/relationships/hyperlink" Target="https://github.com/transatlantic-comppsych/Mood-OppCost/tree/main/data/mdot_prf_oc_mon_gamb/prf_mdot_mon_oc_rest_gamble_v7" TargetMode="External"/><Relationship Id="rId7" Type="http://schemas.openxmlformats.org/officeDocument/2006/relationships/hyperlink" Target="https://app.gorilla.sc/admin/project/102057" TargetMode="External"/><Relationship Id="rId2" Type="http://schemas.openxmlformats.org/officeDocument/2006/relationships/hyperlink" Target="https://app.gorilla.sc/admin/experiment/144339" TargetMode="External"/><Relationship Id="rId16" Type="http://schemas.openxmlformats.org/officeDocument/2006/relationships/hyperlink" Target="https://app.gorilla.sc/admin/experiment/163173" TargetMode="External"/><Relationship Id="rId29" Type="http://schemas.openxmlformats.org/officeDocument/2006/relationships/hyperlink" Target="https://app.gorilla.sc/admin/experiment/142246" TargetMode="External"/><Relationship Id="rId11" Type="http://schemas.openxmlformats.org/officeDocument/2006/relationships/hyperlink" Target="https://app.gorilla.sc/admin/experiment/149691" TargetMode="External"/><Relationship Id="rId24" Type="http://schemas.openxmlformats.org/officeDocument/2006/relationships/hyperlink" Target="https://app.gorilla.sc/admin/experiment/152734" TargetMode="External"/><Relationship Id="rId32" Type="http://schemas.openxmlformats.org/officeDocument/2006/relationships/hyperlink" Target="https://app.gorilla.sc/admin/experiment/193496" TargetMode="External"/><Relationship Id="rId37" Type="http://schemas.openxmlformats.org/officeDocument/2006/relationships/hyperlink" Target="https://github.com/transatlantic-comppsych/Mood-OppCost/tree/main/data/mdot_prf_oc_t" TargetMode="External"/><Relationship Id="rId40" Type="http://schemas.openxmlformats.org/officeDocument/2006/relationships/hyperlink" Target="https://github.com/transatlantic-comppsych/Mood-OppCost/tree/main/data/sup_amt_mdot_oc_rest_gamble" TargetMode="External"/><Relationship Id="rId45" Type="http://schemas.openxmlformats.org/officeDocument/2006/relationships/hyperlink" Target="https://app.gorilla.sc/admin/experiment/152734" TargetMode="External"/><Relationship Id="rId5" Type="http://schemas.openxmlformats.org/officeDocument/2006/relationships/hyperlink" Target="https://app.gorilla.sc/admin/project/102057" TargetMode="External"/><Relationship Id="rId15" Type="http://schemas.openxmlformats.org/officeDocument/2006/relationships/hyperlink" Target="https://app.gorilla.sc/admin/project/102057" TargetMode="External"/><Relationship Id="rId23" Type="http://schemas.openxmlformats.org/officeDocument/2006/relationships/hyperlink" Target="https://app.gorilla.sc/admin/experiment/163173" TargetMode="External"/><Relationship Id="rId28" Type="http://schemas.openxmlformats.org/officeDocument/2006/relationships/hyperlink" Target="https://app.gorilla.sc/admin/experiment/142342" TargetMode="External"/><Relationship Id="rId36" Type="http://schemas.openxmlformats.org/officeDocument/2006/relationships/hyperlink" Target="https://github.com/transatlantic-comppsych/Mood-OppCost/tree/main/data/mdot_prf_oc_mon_gamb_2B" TargetMode="External"/><Relationship Id="rId49" Type="http://schemas.openxmlformats.org/officeDocument/2006/relationships/hyperlink" Target="https://app.gorilla.sc/admin/experiment/139266" TargetMode="External"/><Relationship Id="rId10" Type="http://schemas.openxmlformats.org/officeDocument/2006/relationships/hyperlink" Target="https://app.gorilla.sc/admin/project/102057" TargetMode="External"/><Relationship Id="rId19" Type="http://schemas.openxmlformats.org/officeDocument/2006/relationships/hyperlink" Target="https://app.gorilla.sc/admin/experiment/178265" TargetMode="External"/><Relationship Id="rId31" Type="http://schemas.openxmlformats.org/officeDocument/2006/relationships/hyperlink" Target="https://app.gorilla.sc/admin/project/102057" TargetMode="External"/><Relationship Id="rId44" Type="http://schemas.openxmlformats.org/officeDocument/2006/relationships/hyperlink" Target="https://app.gorilla.sc/admin/experiment/152734" TargetMode="External"/><Relationship Id="rId4" Type="http://schemas.openxmlformats.org/officeDocument/2006/relationships/hyperlink" Target="https://app.gorilla.sc/admin/project/102057" TargetMode="External"/><Relationship Id="rId9" Type="http://schemas.openxmlformats.org/officeDocument/2006/relationships/hyperlink" Target="https://app.gorilla.sc/admin/experiment/140895" TargetMode="External"/><Relationship Id="rId14" Type="http://schemas.openxmlformats.org/officeDocument/2006/relationships/hyperlink" Target="https://app.gorilla.sc/admin/project/102057" TargetMode="External"/><Relationship Id="rId22" Type="http://schemas.openxmlformats.org/officeDocument/2006/relationships/hyperlink" Target="https://app.gorilla.sc/admin/experiment/187387" TargetMode="External"/><Relationship Id="rId27" Type="http://schemas.openxmlformats.org/officeDocument/2006/relationships/hyperlink" Target="https://app.gorilla.sc/admin/experiment/144339" TargetMode="External"/><Relationship Id="rId30" Type="http://schemas.openxmlformats.org/officeDocument/2006/relationships/hyperlink" Target="https://app.gorilla.sc/admin/experiment/144339" TargetMode="External"/><Relationship Id="rId35" Type="http://schemas.openxmlformats.org/officeDocument/2006/relationships/hyperlink" Target="https://github.com/transatlantic-comppsych/Mood-OppCost/tree/main/data/mdot_prf_oc_mon_gamb" TargetMode="External"/><Relationship Id="rId43" Type="http://schemas.openxmlformats.org/officeDocument/2006/relationships/hyperlink" Target="https://github.com/transatlantic-comppsych/Mood-OppCost/tree/main/data/sup_amt_mdot_oc_wp_lh_hl_rest" TargetMode="External"/><Relationship Id="rId48" Type="http://schemas.openxmlformats.org/officeDocument/2006/relationships/hyperlink" Target="https://app.gorilla.sc/admin/project/102057" TargetMode="External"/><Relationship Id="rId8" Type="http://schemas.openxmlformats.org/officeDocument/2006/relationships/hyperlink" Target="https://app.gorilla.sc/admin/experiment/144339" TargetMode="External"/><Relationship Id="rId51" Type="http://schemas.openxmlformats.org/officeDocument/2006/relationships/hyperlink" Target="https://github.com/transatlantic-comppsych/Mood-OppCost/tree/main/data/prf_mdot_rest_gamble_pilot" TargetMode="External"/><Relationship Id="rId3" Type="http://schemas.openxmlformats.org/officeDocument/2006/relationships/hyperlink" Target="https://app.gorilla.sc/admin/experiment/142246" TargetMode="External"/><Relationship Id="rId12" Type="http://schemas.openxmlformats.org/officeDocument/2006/relationships/hyperlink" Target="https://app.gorilla.sc/admin/project/102057" TargetMode="External"/><Relationship Id="rId17" Type="http://schemas.openxmlformats.org/officeDocument/2006/relationships/hyperlink" Target="https://app.gorilla.sc/admin/project/102057" TargetMode="External"/><Relationship Id="rId25" Type="http://schemas.openxmlformats.org/officeDocument/2006/relationships/hyperlink" Target="https://app.gorilla.sc/admin/experiment/149691" TargetMode="External"/><Relationship Id="rId33" Type="http://schemas.openxmlformats.org/officeDocument/2006/relationships/hyperlink" Target="https://app.gorilla.sc/admin/experiment/193496" TargetMode="External"/><Relationship Id="rId38" Type="http://schemas.openxmlformats.org/officeDocument/2006/relationships/hyperlink" Target="https://github.com/transatlantic-comppsych/Mood-OppCost/tree/main/data/mdot_prf_oc_t_gamble/MAIN" TargetMode="External"/><Relationship Id="rId46" Type="http://schemas.openxmlformats.org/officeDocument/2006/relationships/hyperlink" Target="https://app.gorilla.sc/admin/project/102057" TargetMode="External"/><Relationship Id="rId20" Type="http://schemas.openxmlformats.org/officeDocument/2006/relationships/hyperlink" Target="https://app.gorilla.sc/admin/experiment/187387" TargetMode="External"/><Relationship Id="rId41" Type="http://schemas.openxmlformats.org/officeDocument/2006/relationships/hyperlink" Target="https://github.com/transatlantic-comppsych/Mood-OppCost/tree/main/data/sup_amt_mdot_oc_rest_gamble_xs" TargetMode="External"/><Relationship Id="rId1" Type="http://schemas.openxmlformats.org/officeDocument/2006/relationships/hyperlink" Target="https://app.gorilla.sc/admin/experiment/142342" TargetMode="External"/><Relationship Id="rId6" Type="http://schemas.openxmlformats.org/officeDocument/2006/relationships/hyperlink" Target="https://app.gorilla.sc/admin/project/102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8269-7621-9840-90B1-E7E9F3D7C90A}">
  <dimension ref="A1:Q21"/>
  <sheetViews>
    <sheetView tabSelected="1" topLeftCell="H1" zoomScale="82" zoomScaleNormal="82" workbookViewId="0">
      <selection activeCell="D2" sqref="D2"/>
    </sheetView>
  </sheetViews>
  <sheetFormatPr baseColWidth="10" defaultRowHeight="16" x14ac:dyDescent="0.2"/>
  <cols>
    <col min="1" max="1" width="15.5" customWidth="1"/>
    <col min="2" max="2" width="11.83203125" bestFit="1" customWidth="1"/>
    <col min="3" max="3" width="31.1640625" style="3" customWidth="1"/>
    <col min="4" max="4" width="29" style="12" bestFit="1" customWidth="1"/>
    <col min="5" max="5" width="32.33203125" style="3" bestFit="1" customWidth="1"/>
    <col min="6" max="6" width="21" style="12" customWidth="1"/>
    <col min="7" max="7" width="23.5" style="3" customWidth="1"/>
    <col min="8" max="8" width="102" style="3" customWidth="1"/>
    <col min="9" max="10" width="18" style="3" customWidth="1"/>
    <col min="11" max="11" width="18.6640625" style="3" bestFit="1" customWidth="1"/>
    <col min="12" max="12" width="19.33203125" style="3" bestFit="1" customWidth="1"/>
    <col min="13" max="14" width="20.6640625" style="3" bestFit="1" customWidth="1"/>
    <col min="15" max="15" width="23.33203125" style="3" bestFit="1" customWidth="1"/>
    <col min="16" max="16" width="23.33203125" style="3" customWidth="1"/>
    <col min="17" max="17" width="19.83203125" style="3" bestFit="1" customWidth="1"/>
  </cols>
  <sheetData>
    <row r="1" spans="1:17" x14ac:dyDescent="0.2">
      <c r="A1" s="4" t="s">
        <v>7</v>
      </c>
      <c r="B1" s="4" t="s">
        <v>52</v>
      </c>
      <c r="C1" s="2" t="s">
        <v>5</v>
      </c>
      <c r="D1" s="10" t="s">
        <v>184</v>
      </c>
      <c r="E1" s="2" t="s">
        <v>128</v>
      </c>
      <c r="F1" s="10" t="s">
        <v>153</v>
      </c>
      <c r="G1" s="2" t="s">
        <v>0</v>
      </c>
      <c r="H1" s="10" t="s">
        <v>1</v>
      </c>
      <c r="I1" s="2" t="s">
        <v>3</v>
      </c>
      <c r="J1" s="2" t="s">
        <v>130</v>
      </c>
      <c r="K1" s="2" t="s">
        <v>133</v>
      </c>
      <c r="L1" s="2" t="s">
        <v>129</v>
      </c>
      <c r="M1" s="2" t="s">
        <v>82</v>
      </c>
      <c r="N1" s="2" t="s">
        <v>2</v>
      </c>
      <c r="O1" s="2" t="s">
        <v>114</v>
      </c>
      <c r="P1" s="2" t="s">
        <v>125</v>
      </c>
      <c r="Q1" s="2" t="s">
        <v>55</v>
      </c>
    </row>
    <row r="2" spans="1:17" x14ac:dyDescent="0.2">
      <c r="A2" s="1" t="s">
        <v>14</v>
      </c>
      <c r="B2" s="7" t="s">
        <v>175</v>
      </c>
      <c r="C2" s="1" t="s">
        <v>21</v>
      </c>
      <c r="D2" s="11" t="s">
        <v>163</v>
      </c>
      <c r="E2" s="7" t="s">
        <v>174</v>
      </c>
      <c r="F2" s="23" t="s">
        <v>182</v>
      </c>
      <c r="G2" s="9" t="s">
        <v>22</v>
      </c>
      <c r="H2" s="12" t="s">
        <v>23</v>
      </c>
      <c r="I2" s="3">
        <v>8</v>
      </c>
      <c r="J2" s="3" t="s">
        <v>131</v>
      </c>
      <c r="K2" s="3" t="s">
        <v>132</v>
      </c>
      <c r="L2" s="3" t="s">
        <v>4</v>
      </c>
      <c r="M2" s="3">
        <v>10</v>
      </c>
      <c r="N2" s="3">
        <v>10</v>
      </c>
      <c r="O2" s="16">
        <v>45139</v>
      </c>
      <c r="P2" s="3" t="s">
        <v>126</v>
      </c>
      <c r="Q2" s="3" t="s">
        <v>126</v>
      </c>
    </row>
    <row r="3" spans="1:17" x14ac:dyDescent="0.2">
      <c r="A3" s="1" t="s">
        <v>14</v>
      </c>
      <c r="B3" s="7" t="s">
        <v>113</v>
      </c>
      <c r="C3" s="1" t="s">
        <v>18</v>
      </c>
      <c r="D3" s="11" t="s">
        <v>183</v>
      </c>
      <c r="E3" s="7" t="s">
        <v>173</v>
      </c>
      <c r="F3" s="24" t="s">
        <v>180</v>
      </c>
      <c r="G3" s="9" t="s">
        <v>19</v>
      </c>
      <c r="H3" s="12" t="s">
        <v>24</v>
      </c>
      <c r="I3" s="15" t="s">
        <v>176</v>
      </c>
      <c r="J3" s="3" t="s">
        <v>131</v>
      </c>
      <c r="K3" s="3" t="s">
        <v>132</v>
      </c>
      <c r="L3" s="3" t="s">
        <v>6</v>
      </c>
      <c r="M3" s="3">
        <v>59</v>
      </c>
      <c r="N3" s="3">
        <v>60</v>
      </c>
      <c r="O3" s="3" t="s">
        <v>119</v>
      </c>
      <c r="P3" s="3" t="s">
        <v>126</v>
      </c>
      <c r="Q3" s="3" t="s">
        <v>126</v>
      </c>
    </row>
    <row r="4" spans="1:17" x14ac:dyDescent="0.2">
      <c r="A4" s="17" t="s">
        <v>14</v>
      </c>
      <c r="B4" s="18" t="s">
        <v>25</v>
      </c>
      <c r="C4" s="17" t="s">
        <v>8</v>
      </c>
      <c r="D4" s="19" t="s">
        <v>69</v>
      </c>
      <c r="E4" s="18" t="s">
        <v>53</v>
      </c>
      <c r="F4" s="25" t="s">
        <v>160</v>
      </c>
      <c r="G4" s="20" t="s">
        <v>9</v>
      </c>
      <c r="H4" s="12" t="s">
        <v>15</v>
      </c>
      <c r="I4" s="3">
        <v>8</v>
      </c>
      <c r="J4" s="3" t="s">
        <v>131</v>
      </c>
      <c r="K4" s="3" t="s">
        <v>132</v>
      </c>
      <c r="L4" s="3" t="s">
        <v>17</v>
      </c>
      <c r="M4" s="3">
        <v>144</v>
      </c>
      <c r="N4" s="3">
        <v>149</v>
      </c>
      <c r="O4" s="3" t="s">
        <v>124</v>
      </c>
      <c r="P4" s="3" t="s">
        <v>126</v>
      </c>
      <c r="Q4" s="3" t="s">
        <v>126</v>
      </c>
    </row>
    <row r="5" spans="1:17" x14ac:dyDescent="0.2">
      <c r="A5" s="17" t="s">
        <v>14</v>
      </c>
      <c r="B5" s="18" t="s">
        <v>25</v>
      </c>
      <c r="C5" s="17" t="s">
        <v>10</v>
      </c>
      <c r="D5" s="21" t="s">
        <v>68</v>
      </c>
      <c r="E5" s="18" t="s">
        <v>54</v>
      </c>
      <c r="F5" s="25" t="s">
        <v>161</v>
      </c>
      <c r="G5" s="20" t="s">
        <v>11</v>
      </c>
      <c r="H5" s="12" t="s">
        <v>20</v>
      </c>
      <c r="I5" s="3">
        <v>3</v>
      </c>
      <c r="J5" s="3" t="s">
        <v>131</v>
      </c>
      <c r="K5" s="3" t="s">
        <v>132</v>
      </c>
      <c r="L5" s="3" t="s">
        <v>17</v>
      </c>
      <c r="M5" s="3">
        <v>165</v>
      </c>
      <c r="N5" s="3">
        <v>172</v>
      </c>
      <c r="O5" s="3" t="s">
        <v>123</v>
      </c>
      <c r="P5" s="3" t="s">
        <v>126</v>
      </c>
      <c r="Q5" s="3" t="s">
        <v>126</v>
      </c>
    </row>
    <row r="6" spans="1:17" x14ac:dyDescent="0.2">
      <c r="A6" s="17" t="s">
        <v>14</v>
      </c>
      <c r="B6" s="18" t="s">
        <v>25</v>
      </c>
      <c r="C6" s="17" t="s">
        <v>12</v>
      </c>
      <c r="D6" s="19" t="s">
        <v>70</v>
      </c>
      <c r="E6" s="18" t="s">
        <v>93</v>
      </c>
      <c r="F6" s="24" t="s">
        <v>162</v>
      </c>
      <c r="G6" s="20" t="s">
        <v>13</v>
      </c>
      <c r="H6" s="12" t="s">
        <v>16</v>
      </c>
      <c r="I6" s="3">
        <v>3</v>
      </c>
      <c r="J6" s="3" t="s">
        <v>131</v>
      </c>
      <c r="K6" s="3" t="s">
        <v>132</v>
      </c>
      <c r="L6" s="3" t="s">
        <v>17</v>
      </c>
      <c r="M6" s="3">
        <v>61</v>
      </c>
      <c r="N6" s="3">
        <v>61</v>
      </c>
      <c r="O6" s="3" t="s">
        <v>120</v>
      </c>
      <c r="P6" s="3" t="s">
        <v>126</v>
      </c>
      <c r="Q6" s="3" t="s">
        <v>126</v>
      </c>
    </row>
    <row r="7" spans="1:17" x14ac:dyDescent="0.2">
      <c r="A7" s="17" t="s">
        <v>14</v>
      </c>
      <c r="B7" s="18" t="s">
        <v>25</v>
      </c>
      <c r="C7" s="17" t="s">
        <v>12</v>
      </c>
      <c r="D7" s="19" t="s">
        <v>70</v>
      </c>
      <c r="E7" s="18" t="s">
        <v>93</v>
      </c>
      <c r="F7" s="25" t="s">
        <v>162</v>
      </c>
      <c r="G7" s="20" t="s">
        <v>13</v>
      </c>
      <c r="H7" s="12" t="s">
        <v>122</v>
      </c>
      <c r="I7" s="3">
        <v>5</v>
      </c>
      <c r="J7" s="3" t="s">
        <v>131</v>
      </c>
      <c r="K7" s="3" t="s">
        <v>132</v>
      </c>
      <c r="L7" s="3" t="s">
        <v>17</v>
      </c>
      <c r="M7" s="3">
        <v>59</v>
      </c>
      <c r="N7" s="3">
        <v>59</v>
      </c>
      <c r="O7" s="3" t="s">
        <v>121</v>
      </c>
      <c r="P7" s="3" t="s">
        <v>126</v>
      </c>
      <c r="Q7" s="3" t="s">
        <v>126</v>
      </c>
    </row>
    <row r="8" spans="1:17" x14ac:dyDescent="0.2">
      <c r="A8" s="1" t="s">
        <v>14</v>
      </c>
      <c r="B8" s="7" t="s">
        <v>113</v>
      </c>
      <c r="C8" s="1" t="s">
        <v>58</v>
      </c>
      <c r="D8" s="11" t="s">
        <v>67</v>
      </c>
      <c r="E8" s="7" t="s">
        <v>59</v>
      </c>
      <c r="F8" s="24" t="s">
        <v>154</v>
      </c>
      <c r="G8" s="9" t="s">
        <v>60</v>
      </c>
      <c r="H8" s="12" t="s">
        <v>61</v>
      </c>
      <c r="I8" s="3">
        <v>4</v>
      </c>
      <c r="J8" s="3" t="s">
        <v>131</v>
      </c>
      <c r="K8" s="3" t="s">
        <v>132</v>
      </c>
      <c r="L8" s="3" t="s">
        <v>6</v>
      </c>
      <c r="M8" s="3">
        <v>119</v>
      </c>
      <c r="N8" s="3">
        <v>119</v>
      </c>
      <c r="O8" s="3" t="s">
        <v>118</v>
      </c>
      <c r="P8" s="3" t="s">
        <v>126</v>
      </c>
      <c r="Q8" s="3" t="s">
        <v>126</v>
      </c>
    </row>
    <row r="9" spans="1:17" x14ac:dyDescent="0.2">
      <c r="A9" s="1" t="s">
        <v>14</v>
      </c>
      <c r="B9" s="7" t="s">
        <v>113</v>
      </c>
      <c r="C9" s="1" t="s">
        <v>62</v>
      </c>
      <c r="D9" s="11" t="s">
        <v>163</v>
      </c>
      <c r="E9" s="8" t="s">
        <v>167</v>
      </c>
      <c r="F9" s="24" t="s">
        <v>172</v>
      </c>
      <c r="G9" s="9" t="s">
        <v>64</v>
      </c>
      <c r="H9" s="12" t="s">
        <v>164</v>
      </c>
      <c r="I9" s="3">
        <v>7</v>
      </c>
      <c r="J9" s="3" t="s">
        <v>132</v>
      </c>
      <c r="K9" s="3" t="s">
        <v>132</v>
      </c>
      <c r="L9" s="3" t="s">
        <v>6</v>
      </c>
      <c r="M9" s="3">
        <v>30</v>
      </c>
      <c r="N9" s="3">
        <v>30</v>
      </c>
      <c r="O9" s="16">
        <v>45253</v>
      </c>
      <c r="P9" s="3" t="s">
        <v>126</v>
      </c>
      <c r="Q9" s="3" t="s">
        <v>126</v>
      </c>
    </row>
    <row r="10" spans="1:17" x14ac:dyDescent="0.2">
      <c r="A10" s="1" t="s">
        <v>14</v>
      </c>
      <c r="B10" s="7" t="s">
        <v>113</v>
      </c>
      <c r="C10" s="1" t="s">
        <v>62</v>
      </c>
      <c r="D10" s="11" t="s">
        <v>71</v>
      </c>
      <c r="E10" s="8" t="s">
        <v>168</v>
      </c>
      <c r="F10" s="22" t="s">
        <v>155</v>
      </c>
      <c r="G10" s="9" t="s">
        <v>64</v>
      </c>
      <c r="H10" s="12" t="s">
        <v>165</v>
      </c>
      <c r="I10" s="3" t="s">
        <v>66</v>
      </c>
      <c r="J10" s="3" t="s">
        <v>132</v>
      </c>
      <c r="K10" s="3" t="s">
        <v>132</v>
      </c>
      <c r="L10" s="3" t="s">
        <v>6</v>
      </c>
      <c r="M10" s="3">
        <v>71</v>
      </c>
      <c r="N10" s="3">
        <v>71</v>
      </c>
      <c r="O10" s="3" t="s">
        <v>170</v>
      </c>
      <c r="P10" s="3" t="s">
        <v>126</v>
      </c>
      <c r="Q10" s="3" t="s">
        <v>126</v>
      </c>
    </row>
    <row r="11" spans="1:17" x14ac:dyDescent="0.2">
      <c r="A11" s="1" t="s">
        <v>14</v>
      </c>
      <c r="B11" s="7" t="s">
        <v>113</v>
      </c>
      <c r="C11" s="1" t="s">
        <v>63</v>
      </c>
      <c r="D11" s="11" t="s">
        <v>72</v>
      </c>
      <c r="E11" s="8" t="s">
        <v>169</v>
      </c>
      <c r="F11" s="24" t="s">
        <v>156</v>
      </c>
      <c r="G11" s="9" t="s">
        <v>65</v>
      </c>
      <c r="H11" s="12" t="s">
        <v>166</v>
      </c>
      <c r="I11" s="3">
        <v>5</v>
      </c>
      <c r="J11" s="3" t="s">
        <v>132</v>
      </c>
      <c r="K11" s="3" t="s">
        <v>132</v>
      </c>
      <c r="L11" s="3" t="s">
        <v>6</v>
      </c>
      <c r="M11" s="3">
        <v>80</v>
      </c>
      <c r="N11" s="3">
        <v>80</v>
      </c>
      <c r="O11" s="3" t="s">
        <v>117</v>
      </c>
      <c r="P11" s="3" t="s">
        <v>126</v>
      </c>
      <c r="Q11" s="3" t="s">
        <v>126</v>
      </c>
    </row>
    <row r="12" spans="1:17" x14ac:dyDescent="0.2">
      <c r="A12" s="1" t="s">
        <v>14</v>
      </c>
      <c r="B12" s="7" t="s">
        <v>113</v>
      </c>
      <c r="C12" s="1" t="s">
        <v>83</v>
      </c>
      <c r="D12" s="12" t="s">
        <v>98</v>
      </c>
      <c r="E12" s="8" t="s">
        <v>84</v>
      </c>
      <c r="F12" s="22" t="s">
        <v>157</v>
      </c>
      <c r="G12" s="9" t="s">
        <v>85</v>
      </c>
      <c r="H12" s="12" t="s">
        <v>86</v>
      </c>
      <c r="I12" s="3">
        <v>9</v>
      </c>
      <c r="J12" s="3" t="s">
        <v>132</v>
      </c>
      <c r="K12" s="3" t="s">
        <v>132</v>
      </c>
      <c r="L12" s="3" t="s">
        <v>6</v>
      </c>
      <c r="M12" s="3">
        <v>46</v>
      </c>
      <c r="N12" s="3">
        <v>50</v>
      </c>
      <c r="O12" s="16">
        <v>45463</v>
      </c>
      <c r="P12" s="3" t="s">
        <v>126</v>
      </c>
      <c r="Q12" s="3" t="s">
        <v>126</v>
      </c>
    </row>
    <row r="13" spans="1:17" x14ac:dyDescent="0.2">
      <c r="A13" s="1" t="s">
        <v>14</v>
      </c>
      <c r="B13" s="7" t="s">
        <v>113</v>
      </c>
      <c r="C13" s="1" t="s">
        <v>97</v>
      </c>
      <c r="D13" s="12" t="s">
        <v>109</v>
      </c>
      <c r="E13" s="13" t="s">
        <v>104</v>
      </c>
      <c r="F13" s="24" t="s">
        <v>158</v>
      </c>
      <c r="G13" s="9" t="s">
        <v>99</v>
      </c>
      <c r="H13" s="12" t="s">
        <v>100</v>
      </c>
      <c r="I13" s="15" t="s">
        <v>111</v>
      </c>
      <c r="J13" s="3" t="s">
        <v>132</v>
      </c>
      <c r="K13" s="3" t="s">
        <v>132</v>
      </c>
      <c r="L13" s="3" t="s">
        <v>6</v>
      </c>
      <c r="M13" s="3">
        <v>300</v>
      </c>
      <c r="N13" s="3">
        <v>304</v>
      </c>
      <c r="O13" s="3" t="s">
        <v>115</v>
      </c>
      <c r="P13" s="3" t="s">
        <v>126</v>
      </c>
      <c r="Q13" s="3" t="s">
        <v>126</v>
      </c>
    </row>
    <row r="14" spans="1:17" x14ac:dyDescent="0.2">
      <c r="A14" s="1" t="s">
        <v>14</v>
      </c>
      <c r="B14" s="7" t="s">
        <v>113</v>
      </c>
      <c r="C14" s="1" t="s">
        <v>106</v>
      </c>
      <c r="D14" s="12" t="s">
        <v>105</v>
      </c>
      <c r="E14" s="14" t="s">
        <v>110</v>
      </c>
      <c r="F14" s="24" t="s">
        <v>159</v>
      </c>
      <c r="G14" s="9" t="s">
        <v>107</v>
      </c>
      <c r="H14" s="12" t="s">
        <v>100</v>
      </c>
      <c r="I14" s="15">
        <v>6</v>
      </c>
      <c r="J14" s="3" t="s">
        <v>132</v>
      </c>
      <c r="K14" s="3" t="s">
        <v>132</v>
      </c>
      <c r="L14" s="3" t="s">
        <v>6</v>
      </c>
      <c r="M14" s="3">
        <v>75</v>
      </c>
      <c r="N14" s="3">
        <v>75</v>
      </c>
      <c r="O14" s="3" t="s">
        <v>116</v>
      </c>
      <c r="P14" s="3" t="s">
        <v>126</v>
      </c>
      <c r="Q14" s="3" t="s">
        <v>126</v>
      </c>
    </row>
    <row r="21" spans="11:11" x14ac:dyDescent="0.2">
      <c r="K21" s="3" t="s">
        <v>171</v>
      </c>
    </row>
  </sheetData>
  <phoneticPr fontId="8" type="noConversion"/>
  <hyperlinks>
    <hyperlink ref="C5" r:id="rId1" display="https://app.gorilla.sc/admin/experiment/142342" xr:uid="{41A0866F-6D70-CD46-98C8-9A6BD3E76D76}"/>
    <hyperlink ref="C6" r:id="rId2" display="https://app.gorilla.sc/admin/experiment/144339" xr:uid="{8A71B951-832C-D94F-8501-3617156DD036}"/>
    <hyperlink ref="C4" r:id="rId3" display="https://app.gorilla.sc/admin/experiment/142246" xr:uid="{DE5EB828-AC6B-B047-876A-E612B73B99E0}"/>
    <hyperlink ref="A4" r:id="rId4" display="https://app.gorilla.sc/admin/project/102057" xr:uid="{C5605336-040A-6241-9B3F-F4FD11F6ED02}"/>
    <hyperlink ref="A5" r:id="rId5" display="https://app.gorilla.sc/admin/project/102057" xr:uid="{DE25FA95-8E69-3048-9461-54B5EF998994}"/>
    <hyperlink ref="A6" r:id="rId6" display="https://app.gorilla.sc/admin/project/102057" xr:uid="{F844032C-71AE-844F-9ADF-9E897F6AE9AC}"/>
    <hyperlink ref="A7" r:id="rId7" display="https://app.gorilla.sc/admin/project/102057" xr:uid="{674F3951-E7E6-DC40-9CAC-D21E7A5F13C3}"/>
    <hyperlink ref="C7" r:id="rId8" display="https://app.gorilla.sc/admin/experiment/144339" xr:uid="{48FDEDC3-80FE-2A4A-A7CE-2E34397A7312}"/>
    <hyperlink ref="C3" r:id="rId9" display="https://app.gorilla.sc/admin/experiment/140895" xr:uid="{A1920D8F-9A05-4647-A4E3-019E0561BAFF}"/>
    <hyperlink ref="A3" r:id="rId10" display="https://app.gorilla.sc/admin/project/102057" xr:uid="{E148871F-F719-664D-9AA0-A710C2043881}"/>
    <hyperlink ref="C8" r:id="rId11" display="https://app.gorilla.sc/admin/experiment/149691" xr:uid="{92CA1ED7-5BEE-694D-BE17-54D9A1314485}"/>
    <hyperlink ref="A8" r:id="rId12" display="https://app.gorilla.sc/admin/project/102057" xr:uid="{463B1C93-C9EC-8A44-907A-F752B0F2DB8E}"/>
    <hyperlink ref="C10" r:id="rId13" display="https://app.gorilla.sc/admin/experiment/152734" xr:uid="{E52DC102-160B-FC4D-B07E-897E61E7959B}"/>
    <hyperlink ref="A10" r:id="rId14" display="https://app.gorilla.sc/admin/project/102057" xr:uid="{840BB075-8AC2-2D47-8B9F-81DCCC3F1B5B}"/>
    <hyperlink ref="A11" r:id="rId15" display="https://app.gorilla.sc/admin/project/102057" xr:uid="{92183B34-8340-5C4A-80A7-CAF705C641E7}"/>
    <hyperlink ref="C11" r:id="rId16" display="https://app.gorilla.sc/admin/experiment/163173" xr:uid="{FEDBFD2C-AD75-0944-B575-E56E64A53B63}"/>
    <hyperlink ref="A12" r:id="rId17" display="https://app.gorilla.sc/admin/project/102057" xr:uid="{657EAB64-A0E6-5B42-AA43-037DD75E1981}"/>
    <hyperlink ref="C12" r:id="rId18" display="https://app.gorilla.sc/admin/experiment/178265" xr:uid="{1A906F69-7389-F342-B77F-B52F78A5F3FD}"/>
    <hyperlink ref="G12" r:id="rId19" xr:uid="{20092758-BBF6-4041-9B20-A7A18DCE2334}"/>
    <hyperlink ref="C13" r:id="rId20" display="https://app.gorilla.sc/admin/experiment/187387" xr:uid="{6D47DA0F-16A2-D747-8196-2CAFC1A2A759}"/>
    <hyperlink ref="A13" r:id="rId21" display="https://app.gorilla.sc/admin/project/102057" xr:uid="{C8E10595-ED55-B847-BC8A-0DAC8BE4013A}"/>
    <hyperlink ref="G13" r:id="rId22" xr:uid="{B1B9A0E8-97D5-2C4B-83EB-71A03DB68F5A}"/>
    <hyperlink ref="G11" r:id="rId23" xr:uid="{A40E72F9-9F0A-B340-B960-9C776311E55B}"/>
    <hyperlink ref="G10" r:id="rId24" xr:uid="{BA8D0C8C-7F45-3241-8487-4871D6085723}"/>
    <hyperlink ref="G8" r:id="rId25" xr:uid="{05B42DA7-BF8E-8241-9A99-D7215219C42B}"/>
    <hyperlink ref="G3" r:id="rId26" xr:uid="{34543625-D6AC-424B-98D1-32080B1EFB6A}"/>
    <hyperlink ref="G6" r:id="rId27" xr:uid="{0D3D4C3E-7B5D-E445-A08F-E9DF392895A3}"/>
    <hyperlink ref="G5" r:id="rId28" xr:uid="{87D0EA21-0429-6F4F-B17C-8115197FADFE}"/>
    <hyperlink ref="G4" r:id="rId29" xr:uid="{24F120A3-621D-044A-A35C-B789E3A31AC2}"/>
    <hyperlink ref="G7" r:id="rId30" xr:uid="{D54FA004-D684-4C47-AC05-BB1FF6DA5645}"/>
    <hyperlink ref="A14" r:id="rId31" display="https://app.gorilla.sc/admin/project/102057" xr:uid="{EB4F841D-19FA-DA4A-88D2-47390B49EF24}"/>
    <hyperlink ref="C14" r:id="rId32" display="https://app.gorilla.sc/admin/experiment/193496" xr:uid="{D136AC78-291C-FE4B-BA85-822703316948}"/>
    <hyperlink ref="G14" r:id="rId33" xr:uid="{DB676A5E-E77C-D04B-B8DF-49F1235AFF50}"/>
    <hyperlink ref="F8" r:id="rId34" xr:uid="{9EAC801C-6AFC-2D4E-AA1E-161690897258}"/>
    <hyperlink ref="F10" r:id="rId35" xr:uid="{157F9E86-69EB-9D4D-A682-21BEC75E3DC1}"/>
    <hyperlink ref="F11" r:id="rId36" xr:uid="{EB9B0F2B-57C6-1849-95F0-4BFE46A55478}"/>
    <hyperlink ref="F12" r:id="rId37" xr:uid="{EBCEEB2A-0EB3-2E47-A925-A2F77B7D0E03}"/>
    <hyperlink ref="F13" r:id="rId38" xr:uid="{2FDADA69-2073-B74D-ADCC-81668068E9DA}"/>
    <hyperlink ref="F14" r:id="rId39" xr:uid="{389F94B7-F34F-6A45-A18A-702055CB6EDF}"/>
    <hyperlink ref="F4" r:id="rId40" xr:uid="{669CC5C1-33DD-4040-8C8A-751A1DE63680}"/>
    <hyperlink ref="F5" r:id="rId41" xr:uid="{1041A201-3ADD-5B41-BF84-7302952E7CAC}"/>
    <hyperlink ref="F6" r:id="rId42" xr:uid="{B3070887-1484-7746-A8B7-E3FF45C7073A}"/>
    <hyperlink ref="F7" r:id="rId43" xr:uid="{D05CD4D6-E674-164E-B4AC-0E72118D7352}"/>
    <hyperlink ref="G9" r:id="rId44" xr:uid="{EAE9F516-9A83-094F-8569-671792A367AD}"/>
    <hyperlink ref="C9" r:id="rId45" display="https://app.gorilla.sc/admin/experiment/152734" xr:uid="{9F313086-C5A4-6640-90AF-C9B0ED14DA4D}"/>
    <hyperlink ref="A9" r:id="rId46" display="https://app.gorilla.sc/admin/project/102057" xr:uid="{6FEF2624-5DB8-1D42-AE22-A1BCD57701F8}"/>
    <hyperlink ref="C2" r:id="rId47" display="https://app.gorilla.sc/admin/experiment/139266" xr:uid="{C31817C1-FE35-3440-8484-3FD4B5455408}"/>
    <hyperlink ref="A2" r:id="rId48" display="https://app.gorilla.sc/admin/project/102057" xr:uid="{29948BCF-5A65-E54C-8BE4-64865381A445}"/>
    <hyperlink ref="G2" r:id="rId49" xr:uid="{6890C4DA-7ADC-CF4E-A0A7-44628AD613B4}"/>
    <hyperlink ref="F9" r:id="rId50" xr:uid="{A0E98597-D806-2240-B04B-C280CAF8A59A}"/>
    <hyperlink ref="F3" r:id="rId51" xr:uid="{2C5FA004-3B2F-2D4F-B6EB-33FEBE6848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D8BB-429F-2F47-8666-71E4C695DFFE}">
  <dimension ref="A1:P40"/>
  <sheetViews>
    <sheetView workbookViewId="0">
      <selection activeCell="A27" sqref="A27"/>
    </sheetView>
  </sheetViews>
  <sheetFormatPr baseColWidth="10" defaultRowHeight="16" x14ac:dyDescent="0.2"/>
  <cols>
    <col min="1" max="1" width="34" bestFit="1" customWidth="1"/>
    <col min="2" max="2" width="86.33203125" bestFit="1" customWidth="1"/>
    <col min="3" max="3" width="86.33203125" customWidth="1"/>
    <col min="4" max="4" width="43.6640625" bestFit="1" customWidth="1"/>
    <col min="5" max="5" width="46.33203125" bestFit="1" customWidth="1"/>
    <col min="6" max="7" width="45" bestFit="1" customWidth="1"/>
    <col min="8" max="8" width="35.6640625" bestFit="1" customWidth="1"/>
    <col min="9" max="9" width="43.5" bestFit="1" customWidth="1"/>
    <col min="10" max="11" width="44.5" bestFit="1" customWidth="1"/>
    <col min="12" max="12" width="46.6640625" bestFit="1" customWidth="1"/>
    <col min="13" max="13" width="35.33203125" bestFit="1" customWidth="1"/>
    <col min="14" max="14" width="43.6640625" bestFit="1" customWidth="1"/>
    <col min="15" max="15" width="44.6640625" bestFit="1" customWidth="1"/>
    <col min="16" max="16" width="46.5" bestFit="1" customWidth="1"/>
  </cols>
  <sheetData>
    <row r="1" spans="1:16" x14ac:dyDescent="0.2">
      <c r="A1" s="4" t="s">
        <v>51</v>
      </c>
    </row>
    <row r="2" spans="1:16" x14ac:dyDescent="0.2">
      <c r="A2" s="6" t="s">
        <v>26</v>
      </c>
    </row>
    <row r="3" spans="1:16" x14ac:dyDescent="0.2">
      <c r="A3" s="6" t="s">
        <v>127</v>
      </c>
    </row>
    <row r="4" spans="1:16" x14ac:dyDescent="0.2">
      <c r="A4" s="4" t="s">
        <v>56</v>
      </c>
      <c r="B4" s="4" t="s">
        <v>134</v>
      </c>
      <c r="C4" s="4" t="s">
        <v>177</v>
      </c>
      <c r="D4" s="4" t="s">
        <v>42</v>
      </c>
      <c r="E4" s="4" t="s">
        <v>43</v>
      </c>
      <c r="F4" s="4" t="s">
        <v>40</v>
      </c>
      <c r="G4" s="4" t="s">
        <v>41</v>
      </c>
      <c r="H4" s="4" t="s">
        <v>74</v>
      </c>
      <c r="I4" s="4" t="s">
        <v>95</v>
      </c>
      <c r="J4" s="4" t="s">
        <v>78</v>
      </c>
      <c r="K4" s="4" t="s">
        <v>79</v>
      </c>
      <c r="L4" s="4" t="s">
        <v>81</v>
      </c>
      <c r="M4" s="4" t="s">
        <v>87</v>
      </c>
      <c r="N4" s="4" t="s">
        <v>101</v>
      </c>
      <c r="O4" s="4" t="s">
        <v>101</v>
      </c>
      <c r="P4" s="4" t="s">
        <v>108</v>
      </c>
    </row>
    <row r="5" spans="1:16" x14ac:dyDescent="0.2">
      <c r="A5" t="s">
        <v>29</v>
      </c>
      <c r="B5" t="s">
        <v>136</v>
      </c>
      <c r="C5" t="str">
        <f t="shared" ref="C5:C15" si="0">$A$26&amp;""&amp;A5</f>
        <v>prf_mdot_rest_vm_gamble_pilot_v9v11_asrs</v>
      </c>
      <c r="D5" t="str">
        <f>$A$27&amp;""&amp;A5</f>
        <v>sup_amt_mdot_oc_rest_gamble_v8_asrs</v>
      </c>
      <c r="E5" t="str">
        <f>$A$28&amp;""&amp;A5</f>
        <v>sup_amt_mdot_oc_rest_gamble_xs_v3_asrs</v>
      </c>
      <c r="F5" s="5" t="str">
        <f>$A$29&amp;""&amp;A5</f>
        <v>sup_amt_mdot_oc_wp_lh_hl_rest_v3_asrs</v>
      </c>
      <c r="G5" t="str">
        <f>$A$30&amp;""&amp;A5</f>
        <v>sup_amt_mdot_oc_wp_lh_hl_rest_v5_asrs</v>
      </c>
      <c r="H5" t="str">
        <f t="shared" ref="H5:H18" si="1">$A$32&amp;""&amp;A5</f>
        <v>prf_mdot_oc_rest_only_v4_asrs</v>
      </c>
      <c r="I5" t="str">
        <f>$A$33&amp;""&amp;A5</f>
        <v>prf_mdot_mon_oc_rest_gamble_v7_asrs</v>
      </c>
      <c r="J5" t="str">
        <f t="shared" ref="J5:J18" si="2">$A$34&amp;""&amp;A5</f>
        <v>prf_mdot_mon_oc_rest_gamble_v15_asrs</v>
      </c>
      <c r="K5" t="str">
        <f t="shared" ref="K5:K18" si="3">$A$35&amp;""&amp;A5</f>
        <v>prf_mdot_mon_oc_rest_gamble_v16_asrs</v>
      </c>
      <c r="L5" t="str">
        <f t="shared" ref="L5:L22" si="4">$A$36&amp;""&amp;A5</f>
        <v>prf_mdot_mon_oc_rest_gamble_2B_v5_asrs</v>
      </c>
      <c r="M5" t="str">
        <f>$A$37&amp;""&amp;A5</f>
        <v>prf_mdot_oc_t_rest_4R_v9_asrs</v>
      </c>
      <c r="N5" t="str">
        <f>$A$38&amp;""&amp;A5</f>
        <v>prf_mdot_oc_t_rest_2R_gamble_v9_asrs</v>
      </c>
      <c r="O5" t="str">
        <f>$A$39&amp;""&amp;A5</f>
        <v>prf_mdot_oc_t_rest_2R_gamble_v10_asrs</v>
      </c>
      <c r="P5" t="str">
        <f>$A$40&amp;""&amp;A5</f>
        <v>prf_mdot_oct_rest_2R_gamble_v6_asrs</v>
      </c>
    </row>
    <row r="6" spans="1:16" x14ac:dyDescent="0.2">
      <c r="A6" t="s">
        <v>27</v>
      </c>
      <c r="B6" t="s">
        <v>135</v>
      </c>
      <c r="C6" t="str">
        <f t="shared" si="0"/>
        <v>prf_mdot_rest_vm_gamble_pilot_v9v11_psychosis_scr</v>
      </c>
      <c r="D6" t="str">
        <f t="shared" ref="D6:D20" si="5">$A$27&amp;""&amp;A6</f>
        <v>sup_amt_mdot_oc_rest_gamble_v8_psychosis_scr</v>
      </c>
      <c r="E6" t="str">
        <f t="shared" ref="E6:E20" si="6">$A$28&amp;""&amp;A6</f>
        <v>sup_amt_mdot_oc_rest_gamble_xs_v3_psychosis_scr</v>
      </c>
      <c r="F6" s="5" t="str">
        <f t="shared" ref="F6:F20" si="7">$A$29&amp;""&amp;A6</f>
        <v>sup_amt_mdot_oc_wp_lh_hl_rest_v3_psychosis_scr</v>
      </c>
      <c r="G6" t="str">
        <f t="shared" ref="G6:G20" si="8">$A$30&amp;""&amp;A6</f>
        <v>sup_amt_mdot_oc_wp_lh_hl_rest_v5_psychosis_scr</v>
      </c>
      <c r="H6" t="str">
        <f t="shared" si="1"/>
        <v>prf_mdot_oc_rest_only_v4_psychosis_scr</v>
      </c>
      <c r="I6" t="str">
        <f t="shared" ref="I6:I18" si="9">$A$33&amp;""&amp;A6</f>
        <v>prf_mdot_mon_oc_rest_gamble_v7_psychosis_scr</v>
      </c>
      <c r="J6" t="str">
        <f t="shared" si="2"/>
        <v>prf_mdot_mon_oc_rest_gamble_v15_psychosis_scr</v>
      </c>
      <c r="K6" t="str">
        <f t="shared" si="3"/>
        <v>prf_mdot_mon_oc_rest_gamble_v16_psychosis_scr</v>
      </c>
      <c r="L6" t="str">
        <f t="shared" si="4"/>
        <v>prf_mdot_mon_oc_rest_gamble_2B_v5_psychosis_scr</v>
      </c>
      <c r="M6" t="str">
        <f>$A$37&amp;""&amp;A6</f>
        <v>prf_mdot_oc_t_rest_4R_v9_psychosis_scr</v>
      </c>
      <c r="N6" t="str">
        <f t="shared" ref="N6:N24" si="10">$A$38&amp;""&amp;A6</f>
        <v>prf_mdot_oc_t_rest_2R_gamble_v9_psychosis_scr</v>
      </c>
      <c r="O6" t="str">
        <f t="shared" ref="O6:O24" si="11">$A$39&amp;""&amp;A6</f>
        <v>prf_mdot_oc_t_rest_2R_gamble_v10_psychosis_scr</v>
      </c>
      <c r="P6" t="str">
        <f>$A$40&amp;""&amp;A6</f>
        <v>prf_mdot_oct_rest_2R_gamble_v6_psychosis_scr</v>
      </c>
    </row>
    <row r="7" spans="1:16" x14ac:dyDescent="0.2">
      <c r="A7" t="s">
        <v>30</v>
      </c>
      <c r="B7" t="s">
        <v>137</v>
      </c>
      <c r="C7" t="str">
        <f t="shared" si="0"/>
        <v>prf_mdot_rest_vm_gamble_pilot_v9v11_mdq</v>
      </c>
      <c r="D7" t="str">
        <f t="shared" si="5"/>
        <v>sup_amt_mdot_oc_rest_gamble_v8_mdq</v>
      </c>
      <c r="E7" t="str">
        <f t="shared" si="6"/>
        <v>sup_amt_mdot_oc_rest_gamble_xs_v3_mdq</v>
      </c>
      <c r="F7" s="5" t="str">
        <f t="shared" si="7"/>
        <v>sup_amt_mdot_oc_wp_lh_hl_rest_v3_mdq</v>
      </c>
      <c r="G7" t="str">
        <f t="shared" si="8"/>
        <v>sup_amt_mdot_oc_wp_lh_hl_rest_v5_mdq</v>
      </c>
      <c r="H7" t="str">
        <f t="shared" si="1"/>
        <v>prf_mdot_oc_rest_only_v4_mdq</v>
      </c>
      <c r="I7" t="str">
        <f t="shared" si="9"/>
        <v>prf_mdot_mon_oc_rest_gamble_v7_mdq</v>
      </c>
      <c r="J7" t="str">
        <f t="shared" si="2"/>
        <v>prf_mdot_mon_oc_rest_gamble_v15_mdq</v>
      </c>
      <c r="K7" t="str">
        <f t="shared" si="3"/>
        <v>prf_mdot_mon_oc_rest_gamble_v16_mdq</v>
      </c>
      <c r="L7" t="str">
        <f t="shared" si="4"/>
        <v>prf_mdot_mon_oc_rest_gamble_2B_v5_mdq</v>
      </c>
      <c r="M7" t="str">
        <f>$A$37&amp;""&amp;A7</f>
        <v>prf_mdot_oc_t_rest_4R_v9_mdq</v>
      </c>
      <c r="N7" t="str">
        <f t="shared" si="10"/>
        <v>prf_mdot_oc_t_rest_2R_gamble_v9_mdq</v>
      </c>
      <c r="O7" t="str">
        <f t="shared" si="11"/>
        <v>prf_mdot_oc_t_rest_2R_gamble_v10_mdq</v>
      </c>
      <c r="P7" t="str">
        <f>$A$40&amp;""&amp;A7</f>
        <v>prf_mdot_oct_rest_2R_gamble_v6_mdq</v>
      </c>
    </row>
    <row r="8" spans="1:16" x14ac:dyDescent="0.2">
      <c r="A8" t="s">
        <v>31</v>
      </c>
      <c r="B8" t="s">
        <v>138</v>
      </c>
      <c r="C8" t="str">
        <f t="shared" si="0"/>
        <v>prf_mdot_rest_vm_gamble_pilot_v9v11_lsas_sr</v>
      </c>
      <c r="D8" t="str">
        <f t="shared" si="5"/>
        <v>sup_amt_mdot_oc_rest_gamble_v8_lsas_sr</v>
      </c>
      <c r="E8" t="str">
        <f t="shared" si="6"/>
        <v>sup_amt_mdot_oc_rest_gamble_xs_v3_lsas_sr</v>
      </c>
      <c r="F8" s="5" t="str">
        <f t="shared" si="7"/>
        <v>sup_amt_mdot_oc_wp_lh_hl_rest_v3_lsas_sr</v>
      </c>
      <c r="G8" t="str">
        <f t="shared" si="8"/>
        <v>sup_amt_mdot_oc_wp_lh_hl_rest_v5_lsas_sr</v>
      </c>
      <c r="H8" t="str">
        <f t="shared" si="1"/>
        <v>prf_mdot_oc_rest_only_v4_lsas_sr</v>
      </c>
      <c r="I8" t="str">
        <f t="shared" si="9"/>
        <v>prf_mdot_mon_oc_rest_gamble_v7_lsas_sr</v>
      </c>
      <c r="J8" t="str">
        <f t="shared" si="2"/>
        <v>prf_mdot_mon_oc_rest_gamble_v15_lsas_sr</v>
      </c>
      <c r="K8" t="str">
        <f t="shared" si="3"/>
        <v>prf_mdot_mon_oc_rest_gamble_v16_lsas_sr</v>
      </c>
      <c r="L8" t="str">
        <f t="shared" si="4"/>
        <v>prf_mdot_mon_oc_rest_gamble_2B_v5_lsas_sr</v>
      </c>
    </row>
    <row r="9" spans="1:16" x14ac:dyDescent="0.2">
      <c r="A9" t="s">
        <v>32</v>
      </c>
      <c r="B9" t="s">
        <v>139</v>
      </c>
      <c r="C9" t="str">
        <f t="shared" si="0"/>
        <v>prf_mdot_rest_vm_gamble_pilot_v9v11_dudit</v>
      </c>
      <c r="D9" t="str">
        <f t="shared" si="5"/>
        <v>sup_amt_mdot_oc_rest_gamble_v8_dudit</v>
      </c>
      <c r="E9" t="str">
        <f t="shared" si="6"/>
        <v>sup_amt_mdot_oc_rest_gamble_xs_v3_dudit</v>
      </c>
      <c r="F9" s="5" t="str">
        <f t="shared" si="7"/>
        <v>sup_amt_mdot_oc_wp_lh_hl_rest_v3_dudit</v>
      </c>
      <c r="G9" t="str">
        <f t="shared" si="8"/>
        <v>sup_amt_mdot_oc_wp_lh_hl_rest_v5_dudit</v>
      </c>
      <c r="H9" t="str">
        <f t="shared" si="1"/>
        <v>prf_mdot_oc_rest_only_v4_dudit</v>
      </c>
      <c r="I9" t="str">
        <f t="shared" si="9"/>
        <v>prf_mdot_mon_oc_rest_gamble_v7_dudit</v>
      </c>
      <c r="J9" t="str">
        <f t="shared" si="2"/>
        <v>prf_mdot_mon_oc_rest_gamble_v15_dudit</v>
      </c>
      <c r="K9" t="str">
        <f t="shared" si="3"/>
        <v>prf_mdot_mon_oc_rest_gamble_v16_dudit</v>
      </c>
      <c r="L9" t="str">
        <f t="shared" si="4"/>
        <v>prf_mdot_mon_oc_rest_gamble_2B_v5_dudit</v>
      </c>
      <c r="M9" t="str">
        <f>$A$37&amp;""&amp;A9</f>
        <v>prf_mdot_oc_t_rest_4R_v9_dudit</v>
      </c>
      <c r="N9" t="str">
        <f t="shared" si="10"/>
        <v>prf_mdot_oc_t_rest_2R_gamble_v9_dudit</v>
      </c>
      <c r="O9" t="str">
        <f t="shared" si="11"/>
        <v>prf_mdot_oc_t_rest_2R_gamble_v10_dudit</v>
      </c>
      <c r="P9" t="str">
        <f>$A$40&amp;""&amp;A9</f>
        <v>prf_mdot_oct_rest_2R_gamble_v6_dudit</v>
      </c>
    </row>
    <row r="10" spans="1:16" x14ac:dyDescent="0.2">
      <c r="A10" t="s">
        <v>33</v>
      </c>
      <c r="B10" t="s">
        <v>140</v>
      </c>
      <c r="C10" t="str">
        <f t="shared" si="0"/>
        <v>prf_mdot_rest_vm_gamble_pilot_v9v11_biq</v>
      </c>
      <c r="D10" t="str">
        <f t="shared" si="5"/>
        <v>sup_amt_mdot_oc_rest_gamble_v8_biq</v>
      </c>
      <c r="E10" t="str">
        <f t="shared" si="6"/>
        <v>sup_amt_mdot_oc_rest_gamble_xs_v3_biq</v>
      </c>
      <c r="F10" s="5" t="str">
        <f t="shared" si="7"/>
        <v>sup_amt_mdot_oc_wp_lh_hl_rest_v3_biq</v>
      </c>
      <c r="G10" t="str">
        <f t="shared" si="8"/>
        <v>sup_amt_mdot_oc_wp_lh_hl_rest_v5_biq</v>
      </c>
      <c r="H10" t="str">
        <f t="shared" si="1"/>
        <v>prf_mdot_oc_rest_only_v4_biq</v>
      </c>
      <c r="I10" t="str">
        <f t="shared" si="9"/>
        <v>prf_mdot_mon_oc_rest_gamble_v7_biq</v>
      </c>
      <c r="J10" t="str">
        <f t="shared" si="2"/>
        <v>prf_mdot_mon_oc_rest_gamble_v15_biq</v>
      </c>
      <c r="K10" t="str">
        <f t="shared" si="3"/>
        <v>prf_mdot_mon_oc_rest_gamble_v16_biq</v>
      </c>
      <c r="L10" t="str">
        <f t="shared" si="4"/>
        <v>prf_mdot_mon_oc_rest_gamble_2B_v5_biq</v>
      </c>
    </row>
    <row r="11" spans="1:16" x14ac:dyDescent="0.2">
      <c r="A11" t="s">
        <v>36</v>
      </c>
      <c r="B11" t="s">
        <v>141</v>
      </c>
      <c r="C11" t="str">
        <f t="shared" si="0"/>
        <v>prf_mdot_rest_vm_gamble_pilot_v9v11_life_happ</v>
      </c>
      <c r="D11" t="str">
        <f t="shared" si="5"/>
        <v>sup_amt_mdot_oc_rest_gamble_v8_life_happ</v>
      </c>
      <c r="E11" t="str">
        <f t="shared" si="6"/>
        <v>sup_amt_mdot_oc_rest_gamble_xs_v3_life_happ</v>
      </c>
      <c r="F11" s="5" t="str">
        <f t="shared" si="7"/>
        <v>sup_amt_mdot_oc_wp_lh_hl_rest_v3_life_happ</v>
      </c>
      <c r="G11" t="str">
        <f t="shared" si="8"/>
        <v>sup_amt_mdot_oc_wp_lh_hl_rest_v5_life_happ</v>
      </c>
      <c r="H11" t="str">
        <f t="shared" si="1"/>
        <v>prf_mdot_oc_rest_only_v4_life_happ</v>
      </c>
      <c r="I11" t="str">
        <f t="shared" si="9"/>
        <v>prf_mdot_mon_oc_rest_gamble_v7_life_happ</v>
      </c>
      <c r="J11" t="str">
        <f t="shared" si="2"/>
        <v>prf_mdot_mon_oc_rest_gamble_v15_life_happ</v>
      </c>
      <c r="K11" t="str">
        <f t="shared" si="3"/>
        <v>prf_mdot_mon_oc_rest_gamble_v16_life_happ</v>
      </c>
      <c r="L11" t="str">
        <f t="shared" si="4"/>
        <v>prf_mdot_mon_oc_rest_gamble_2B_v5_life_happ</v>
      </c>
      <c r="M11" t="str">
        <f t="shared" ref="M11:M18" si="12">$A$37&amp;""&amp;A11</f>
        <v>prf_mdot_oc_t_rest_4R_v9_life_happ</v>
      </c>
      <c r="N11" t="str">
        <f t="shared" si="10"/>
        <v>prf_mdot_oc_t_rest_2R_gamble_v9_life_happ</v>
      </c>
      <c r="O11" t="str">
        <f t="shared" si="11"/>
        <v>prf_mdot_oc_t_rest_2R_gamble_v10_life_happ</v>
      </c>
      <c r="P11" t="str">
        <f t="shared" ref="P11:P18" si="13">$A$40&amp;""&amp;A11</f>
        <v>prf_mdot_oct_rest_2R_gamble_v6_life_happ</v>
      </c>
    </row>
    <row r="12" spans="1:16" x14ac:dyDescent="0.2">
      <c r="A12" t="s">
        <v>37</v>
      </c>
      <c r="B12" t="s">
        <v>142</v>
      </c>
      <c r="C12" t="str">
        <f t="shared" si="0"/>
        <v>prf_mdot_rest_vm_gamble_pilot_v9v11_ces_d</v>
      </c>
      <c r="D12" t="str">
        <f>$A$27&amp;""&amp;A12</f>
        <v>sup_amt_mdot_oc_rest_gamble_v8_ces_d</v>
      </c>
      <c r="E12" t="str">
        <f t="shared" si="6"/>
        <v>sup_amt_mdot_oc_rest_gamble_xs_v3_ces_d</v>
      </c>
      <c r="F12" s="5" t="str">
        <f t="shared" si="7"/>
        <v>sup_amt_mdot_oc_wp_lh_hl_rest_v3_ces_d</v>
      </c>
      <c r="G12" t="str">
        <f t="shared" si="8"/>
        <v>sup_amt_mdot_oc_wp_lh_hl_rest_v5_ces_d</v>
      </c>
      <c r="H12" t="str">
        <f t="shared" si="1"/>
        <v>prf_mdot_oc_rest_only_v4_ces_d</v>
      </c>
      <c r="I12" t="str">
        <f t="shared" si="9"/>
        <v>prf_mdot_mon_oc_rest_gamble_v7_ces_d</v>
      </c>
      <c r="J12" t="str">
        <f t="shared" si="2"/>
        <v>prf_mdot_mon_oc_rest_gamble_v15_ces_d</v>
      </c>
      <c r="K12" t="str">
        <f t="shared" si="3"/>
        <v>prf_mdot_mon_oc_rest_gamble_v16_ces_d</v>
      </c>
      <c r="L12" t="str">
        <f t="shared" si="4"/>
        <v>prf_mdot_mon_oc_rest_gamble_2B_v5_ces_d</v>
      </c>
      <c r="M12" t="str">
        <f t="shared" si="12"/>
        <v>prf_mdot_oc_t_rest_4R_v9_ces_d</v>
      </c>
      <c r="N12" t="str">
        <f t="shared" si="10"/>
        <v>prf_mdot_oc_t_rest_2R_gamble_v9_ces_d</v>
      </c>
      <c r="O12" t="str">
        <f t="shared" si="11"/>
        <v>prf_mdot_oc_t_rest_2R_gamble_v10_ces_d</v>
      </c>
      <c r="P12" t="str">
        <f t="shared" si="13"/>
        <v>prf_mdot_oct_rest_2R_gamble_v6_ces_d</v>
      </c>
    </row>
    <row r="13" spans="1:16" x14ac:dyDescent="0.2">
      <c r="A13" t="s">
        <v>28</v>
      </c>
      <c r="B13" t="s">
        <v>143</v>
      </c>
      <c r="C13" t="str">
        <f t="shared" si="0"/>
        <v>prf_mdot_rest_vm_gamble_pilot_v9v11_clinical_srv</v>
      </c>
      <c r="D13" t="str">
        <f>$A$27&amp;""&amp;A13</f>
        <v>sup_amt_mdot_oc_rest_gamble_v8_clinical_srv</v>
      </c>
      <c r="E13" t="str">
        <f t="shared" si="6"/>
        <v>sup_amt_mdot_oc_rest_gamble_xs_v3_clinical_srv</v>
      </c>
      <c r="F13" s="5" t="str">
        <f t="shared" si="7"/>
        <v>sup_amt_mdot_oc_wp_lh_hl_rest_v3_clinical_srv</v>
      </c>
      <c r="G13" t="str">
        <f t="shared" si="8"/>
        <v>sup_amt_mdot_oc_wp_lh_hl_rest_v5_clinical_srv</v>
      </c>
      <c r="H13" t="str">
        <f t="shared" si="1"/>
        <v>prf_mdot_oc_rest_only_v4_clinical_srv</v>
      </c>
      <c r="I13" t="str">
        <f t="shared" si="9"/>
        <v>prf_mdot_mon_oc_rest_gamble_v7_clinical_srv</v>
      </c>
      <c r="J13" t="str">
        <f t="shared" si="2"/>
        <v>prf_mdot_mon_oc_rest_gamble_v15_clinical_srv</v>
      </c>
      <c r="K13" t="str">
        <f t="shared" si="3"/>
        <v>prf_mdot_mon_oc_rest_gamble_v16_clinical_srv</v>
      </c>
      <c r="L13" t="str">
        <f t="shared" si="4"/>
        <v>prf_mdot_mon_oc_rest_gamble_2B_v5_clinical_srv</v>
      </c>
      <c r="M13" t="str">
        <f t="shared" si="12"/>
        <v>prf_mdot_oc_t_rest_4R_v9_clinical_srv</v>
      </c>
      <c r="N13" t="str">
        <f t="shared" si="10"/>
        <v>prf_mdot_oc_t_rest_2R_gamble_v9_clinical_srv</v>
      </c>
      <c r="O13" t="str">
        <f t="shared" si="11"/>
        <v>prf_mdot_oc_t_rest_2R_gamble_v10_clinical_srv</v>
      </c>
      <c r="P13" t="str">
        <f t="shared" si="13"/>
        <v>prf_mdot_oct_rest_2R_gamble_v6_clinical_srv</v>
      </c>
    </row>
    <row r="14" spans="1:16" x14ac:dyDescent="0.2">
      <c r="A14" t="s">
        <v>35</v>
      </c>
      <c r="B14" t="s">
        <v>144</v>
      </c>
      <c r="C14" t="str">
        <f t="shared" si="0"/>
        <v>prf_mdot_rest_vm_gamble_pilot_v9v11_audit</v>
      </c>
      <c r="D14" t="str">
        <f t="shared" si="5"/>
        <v>sup_amt_mdot_oc_rest_gamble_v8_audit</v>
      </c>
      <c r="E14" t="str">
        <f t="shared" si="6"/>
        <v>sup_amt_mdot_oc_rest_gamble_xs_v3_audit</v>
      </c>
      <c r="F14" s="5" t="str">
        <f t="shared" si="7"/>
        <v>sup_amt_mdot_oc_wp_lh_hl_rest_v3_audit</v>
      </c>
      <c r="G14" t="str">
        <f t="shared" si="8"/>
        <v>sup_amt_mdot_oc_wp_lh_hl_rest_v5_audit</v>
      </c>
      <c r="H14" t="str">
        <f t="shared" si="1"/>
        <v>prf_mdot_oc_rest_only_v4_audit</v>
      </c>
      <c r="I14" t="str">
        <f t="shared" si="9"/>
        <v>prf_mdot_mon_oc_rest_gamble_v7_audit</v>
      </c>
      <c r="J14" t="str">
        <f t="shared" si="2"/>
        <v>prf_mdot_mon_oc_rest_gamble_v15_audit</v>
      </c>
      <c r="K14" t="str">
        <f t="shared" si="3"/>
        <v>prf_mdot_mon_oc_rest_gamble_v16_audit</v>
      </c>
      <c r="L14" t="str">
        <f t="shared" si="4"/>
        <v>prf_mdot_mon_oc_rest_gamble_2B_v5_audit</v>
      </c>
      <c r="M14" t="str">
        <f t="shared" si="12"/>
        <v>prf_mdot_oc_t_rest_4R_v9_audit</v>
      </c>
      <c r="N14" t="str">
        <f t="shared" si="10"/>
        <v>prf_mdot_oc_t_rest_2R_gamble_v9_audit</v>
      </c>
      <c r="O14" t="str">
        <f t="shared" si="11"/>
        <v>prf_mdot_oc_t_rest_2R_gamble_v10_audit</v>
      </c>
      <c r="P14" t="str">
        <f t="shared" si="13"/>
        <v>prf_mdot_oct_rest_2R_gamble_v6_audit</v>
      </c>
    </row>
    <row r="15" spans="1:16" x14ac:dyDescent="0.2">
      <c r="A15" t="s">
        <v>34</v>
      </c>
      <c r="B15" t="s">
        <v>145</v>
      </c>
      <c r="C15" t="str">
        <f t="shared" si="0"/>
        <v>prf_mdot_rest_vm_gamble_pilot_v9v11_ari</v>
      </c>
      <c r="D15" t="str">
        <f t="shared" si="5"/>
        <v>sup_amt_mdot_oc_rest_gamble_v8_ari</v>
      </c>
      <c r="E15" t="str">
        <f t="shared" si="6"/>
        <v>sup_amt_mdot_oc_rest_gamble_xs_v3_ari</v>
      </c>
      <c r="F15" s="5" t="str">
        <f t="shared" si="7"/>
        <v>sup_amt_mdot_oc_wp_lh_hl_rest_v3_ari</v>
      </c>
      <c r="G15" t="str">
        <f t="shared" si="8"/>
        <v>sup_amt_mdot_oc_wp_lh_hl_rest_v5_ari</v>
      </c>
      <c r="H15" t="str">
        <f t="shared" si="1"/>
        <v>prf_mdot_oc_rest_only_v4_ari</v>
      </c>
      <c r="I15" t="str">
        <f t="shared" si="9"/>
        <v>prf_mdot_mon_oc_rest_gamble_v7_ari</v>
      </c>
      <c r="J15" t="str">
        <f t="shared" si="2"/>
        <v>prf_mdot_mon_oc_rest_gamble_v15_ari</v>
      </c>
      <c r="K15" t="str">
        <f t="shared" si="3"/>
        <v>prf_mdot_mon_oc_rest_gamble_v16_ari</v>
      </c>
      <c r="L15" t="str">
        <f t="shared" si="4"/>
        <v>prf_mdot_mon_oc_rest_gamble_2B_v5_ari</v>
      </c>
      <c r="M15" t="str">
        <f t="shared" si="12"/>
        <v>prf_mdot_oc_t_rest_4R_v9_ari</v>
      </c>
      <c r="N15" t="str">
        <f t="shared" si="10"/>
        <v>prf_mdot_oc_t_rest_2R_gamble_v9_ari</v>
      </c>
      <c r="O15" t="str">
        <f t="shared" si="11"/>
        <v>prf_mdot_oc_t_rest_2R_gamble_v10_ari</v>
      </c>
      <c r="P15" t="str">
        <f t="shared" si="13"/>
        <v>prf_mdot_oct_rest_2R_gamble_v6_ari</v>
      </c>
    </row>
    <row r="16" spans="1:16" x14ac:dyDescent="0.2">
      <c r="A16" t="s">
        <v>57</v>
      </c>
      <c r="B16" t="s">
        <v>146</v>
      </c>
      <c r="F16" s="5"/>
      <c r="G16" t="str">
        <f t="shared" si="8"/>
        <v>sup_amt_mdot_oc_wp_lh_hl_rest_v5_asa</v>
      </c>
      <c r="H16" t="str">
        <f t="shared" si="1"/>
        <v>prf_mdot_oc_rest_only_v4_asa</v>
      </c>
      <c r="I16" t="str">
        <f t="shared" si="9"/>
        <v>prf_mdot_mon_oc_rest_gamble_v7_asa</v>
      </c>
      <c r="J16" t="str">
        <f t="shared" si="2"/>
        <v>prf_mdot_mon_oc_rest_gamble_v15_asa</v>
      </c>
      <c r="K16" t="str">
        <f t="shared" si="3"/>
        <v>prf_mdot_mon_oc_rest_gamble_v16_asa</v>
      </c>
      <c r="L16" t="str">
        <f t="shared" si="4"/>
        <v>prf_mdot_mon_oc_rest_gamble_2B_v5_asa</v>
      </c>
      <c r="M16" t="str">
        <f t="shared" si="12"/>
        <v>prf_mdot_oc_t_rest_4R_v9_asa</v>
      </c>
      <c r="N16" t="str">
        <f t="shared" si="10"/>
        <v>prf_mdot_oc_t_rest_2R_gamble_v9_asa</v>
      </c>
      <c r="O16" t="str">
        <f t="shared" si="11"/>
        <v>prf_mdot_oc_t_rest_2R_gamble_v10_asa</v>
      </c>
      <c r="P16" t="str">
        <f t="shared" si="13"/>
        <v>prf_mdot_oct_rest_2R_gamble_v6_asa</v>
      </c>
    </row>
    <row r="17" spans="1:16" x14ac:dyDescent="0.2">
      <c r="A17" t="s">
        <v>45</v>
      </c>
      <c r="B17" t="s">
        <v>147</v>
      </c>
      <c r="C17" t="str">
        <f>$A$26&amp;""&amp;A17</f>
        <v>prf_mdot_rest_vm_gamble_pilot_v9v11_attcheck1</v>
      </c>
      <c r="D17" t="str">
        <f t="shared" si="5"/>
        <v>sup_amt_mdot_oc_rest_gamble_v8_attcheck1</v>
      </c>
      <c r="E17" t="str">
        <f t="shared" si="6"/>
        <v>sup_amt_mdot_oc_rest_gamble_xs_v3_attcheck1</v>
      </c>
      <c r="F17" s="5" t="str">
        <f t="shared" si="7"/>
        <v>sup_amt_mdot_oc_wp_lh_hl_rest_v3_attcheck1</v>
      </c>
      <c r="G17" t="str">
        <f t="shared" si="8"/>
        <v>sup_amt_mdot_oc_wp_lh_hl_rest_v5_attcheck1</v>
      </c>
      <c r="H17" t="str">
        <f t="shared" si="1"/>
        <v>prf_mdot_oc_rest_only_v4_attcheck1</v>
      </c>
      <c r="I17" t="str">
        <f t="shared" si="9"/>
        <v>prf_mdot_mon_oc_rest_gamble_v7_attcheck1</v>
      </c>
      <c r="J17" t="str">
        <f t="shared" si="2"/>
        <v>prf_mdot_mon_oc_rest_gamble_v15_attcheck1</v>
      </c>
      <c r="K17" t="str">
        <f t="shared" si="3"/>
        <v>prf_mdot_mon_oc_rest_gamble_v16_attcheck1</v>
      </c>
      <c r="L17" t="str">
        <f t="shared" si="4"/>
        <v>prf_mdot_mon_oc_rest_gamble_2B_v5_attcheck1</v>
      </c>
      <c r="M17" t="str">
        <f t="shared" si="12"/>
        <v>prf_mdot_oc_t_rest_4R_v9_attcheck1</v>
      </c>
      <c r="N17" t="str">
        <f t="shared" si="10"/>
        <v>prf_mdot_oc_t_rest_2R_gamble_v9_attcheck1</v>
      </c>
      <c r="O17" t="str">
        <f t="shared" si="11"/>
        <v>prf_mdot_oc_t_rest_2R_gamble_v10_attcheck1</v>
      </c>
      <c r="P17" t="str">
        <f t="shared" si="13"/>
        <v>prf_mdot_oct_rest_2R_gamble_v6_attcheck1</v>
      </c>
    </row>
    <row r="18" spans="1:16" x14ac:dyDescent="0.2">
      <c r="A18" t="s">
        <v>46</v>
      </c>
      <c r="B18" t="s">
        <v>147</v>
      </c>
      <c r="C18" t="str">
        <f>$A$26&amp;""&amp;A18</f>
        <v>prf_mdot_rest_vm_gamble_pilot_v9v11_attcheck2</v>
      </c>
      <c r="D18" t="str">
        <f t="shared" si="5"/>
        <v>sup_amt_mdot_oc_rest_gamble_v8_attcheck2</v>
      </c>
      <c r="E18" t="str">
        <f t="shared" si="6"/>
        <v>sup_amt_mdot_oc_rest_gamble_xs_v3_attcheck2</v>
      </c>
      <c r="F18" s="5" t="str">
        <f t="shared" si="7"/>
        <v>sup_amt_mdot_oc_wp_lh_hl_rest_v3_attcheck2</v>
      </c>
      <c r="G18" t="str">
        <f t="shared" si="8"/>
        <v>sup_amt_mdot_oc_wp_lh_hl_rest_v5_attcheck2</v>
      </c>
      <c r="H18" t="str">
        <f t="shared" si="1"/>
        <v>prf_mdot_oc_rest_only_v4_attcheck2</v>
      </c>
      <c r="I18" t="str">
        <f t="shared" si="9"/>
        <v>prf_mdot_mon_oc_rest_gamble_v7_attcheck2</v>
      </c>
      <c r="J18" t="str">
        <f t="shared" si="2"/>
        <v>prf_mdot_mon_oc_rest_gamble_v15_attcheck2</v>
      </c>
      <c r="K18" t="str">
        <f t="shared" si="3"/>
        <v>prf_mdot_mon_oc_rest_gamble_v16_attcheck2</v>
      </c>
      <c r="L18" t="str">
        <f t="shared" si="4"/>
        <v>prf_mdot_mon_oc_rest_gamble_2B_v5_attcheck2</v>
      </c>
      <c r="M18" t="str">
        <f t="shared" si="12"/>
        <v>prf_mdot_oc_t_rest_4R_v9_attcheck2</v>
      </c>
      <c r="N18" t="str">
        <f t="shared" si="10"/>
        <v>prf_mdot_oc_t_rest_2R_gamble_v9_attcheck2</v>
      </c>
      <c r="O18" t="str">
        <f t="shared" si="11"/>
        <v>prf_mdot_oc_t_rest_2R_gamble_v10_attcheck2</v>
      </c>
      <c r="P18" t="str">
        <f t="shared" si="13"/>
        <v>prf_mdot_oct_rest_2R_gamble_v6_attcheck2</v>
      </c>
    </row>
    <row r="19" spans="1:16" x14ac:dyDescent="0.2">
      <c r="A19" t="s">
        <v>47</v>
      </c>
      <c r="B19" t="s">
        <v>148</v>
      </c>
      <c r="D19" t="str">
        <f t="shared" si="5"/>
        <v>sup_amt_mdot_oc_rest_gamble_v8_feedback</v>
      </c>
      <c r="E19" t="str">
        <f t="shared" si="6"/>
        <v>sup_amt_mdot_oc_rest_gamble_xs_v3_feedback</v>
      </c>
      <c r="F19" s="5" t="str">
        <f t="shared" si="7"/>
        <v>sup_amt_mdot_oc_wp_lh_hl_rest_v3_feedback</v>
      </c>
      <c r="G19" t="str">
        <f t="shared" si="8"/>
        <v>sup_amt_mdot_oc_wp_lh_hl_rest_v5_feedback</v>
      </c>
      <c r="L19" t="str">
        <f t="shared" si="4"/>
        <v>prf_mdot_mon_oc_rest_gamble_2B_v5_feedback</v>
      </c>
    </row>
    <row r="20" spans="1:16" x14ac:dyDescent="0.2">
      <c r="A20" t="s">
        <v>48</v>
      </c>
      <c r="B20" t="s">
        <v>151</v>
      </c>
      <c r="D20" t="str">
        <f t="shared" si="5"/>
        <v>sup_amt_mdot_oc_rest_gamble_v8_workerID</v>
      </c>
      <c r="E20" t="str">
        <f t="shared" si="6"/>
        <v>sup_amt_mdot_oc_rest_gamble_xs_v3_workerID</v>
      </c>
      <c r="F20" s="5" t="str">
        <f t="shared" si="7"/>
        <v>sup_amt_mdot_oc_wp_lh_hl_rest_v3_workerID</v>
      </c>
      <c r="G20" t="str">
        <f t="shared" si="8"/>
        <v>sup_amt_mdot_oc_wp_lh_hl_rest_v5_workerID</v>
      </c>
      <c r="H20" t="str">
        <f>$A$32&amp;""&amp;A20</f>
        <v>prf_mdot_oc_rest_only_v4_workerID</v>
      </c>
      <c r="I20" t="str">
        <f>$A$33&amp;""&amp;A20</f>
        <v>prf_mdot_mon_oc_rest_gamble_v7_workerID</v>
      </c>
      <c r="J20" t="str">
        <f>$A$34&amp;""&amp;A20</f>
        <v>prf_mdot_mon_oc_rest_gamble_v15_workerID</v>
      </c>
      <c r="K20" t="str">
        <f>$A$35&amp;""&amp;A20</f>
        <v>prf_mdot_mon_oc_rest_gamble_v16_workerID</v>
      </c>
      <c r="L20" t="str">
        <f t="shared" si="4"/>
        <v>prf_mdot_mon_oc_rest_gamble_2B_v5_workerID</v>
      </c>
    </row>
    <row r="21" spans="1:16" x14ac:dyDescent="0.2">
      <c r="A21" t="s">
        <v>75</v>
      </c>
      <c r="B21" t="s">
        <v>149</v>
      </c>
      <c r="F21" s="5"/>
      <c r="G21" t="s">
        <v>49</v>
      </c>
      <c r="H21" t="str">
        <f>$A$32&amp;""&amp;A21</f>
        <v>prf_mdot_oc_rest_only_v4_botcheck</v>
      </c>
      <c r="I21" t="str">
        <f>$A$33&amp;""&amp;A21</f>
        <v>prf_mdot_mon_oc_rest_gamble_v7_botcheck</v>
      </c>
      <c r="J21" t="str">
        <f>$A$34&amp;""&amp;A21</f>
        <v>prf_mdot_mon_oc_rest_gamble_v15_botcheck</v>
      </c>
      <c r="K21" t="str">
        <f>$A$35&amp;""&amp;A21</f>
        <v>prf_mdot_mon_oc_rest_gamble_v16_botcheck</v>
      </c>
      <c r="L21" t="str">
        <f t="shared" si="4"/>
        <v>prf_mdot_mon_oc_rest_gamble_2B_v5_botcheck</v>
      </c>
      <c r="M21" t="str">
        <f>$A$37&amp;""&amp;A21</f>
        <v>prf_mdot_oc_t_rest_4R_v9_botcheck</v>
      </c>
      <c r="N21" t="str">
        <f t="shared" si="10"/>
        <v>prf_mdot_oc_t_rest_2R_gamble_v9_botcheck</v>
      </c>
      <c r="O21" t="str">
        <f t="shared" si="11"/>
        <v>prf_mdot_oc_t_rest_2R_gamble_v10_botcheck</v>
      </c>
      <c r="P21" t="str">
        <f>$A$40&amp;""&amp;A21</f>
        <v>prf_mdot_oct_rest_2R_gamble_v6_botcheck</v>
      </c>
    </row>
    <row r="22" spans="1:16" x14ac:dyDescent="0.2">
      <c r="A22" t="s">
        <v>178</v>
      </c>
      <c r="B22" t="s">
        <v>179</v>
      </c>
      <c r="C22" t="str">
        <f>$A$26&amp;""&amp;A22</f>
        <v>prf_mdot_rest_vm_gamble_pilot_v9v11_minispin</v>
      </c>
      <c r="F22" s="5"/>
      <c r="H22" t="str">
        <f>$A$32&amp;""&amp;A22</f>
        <v>prf_mdot_oc_rest_only_v4_minispin</v>
      </c>
      <c r="I22" t="str">
        <f>$A$33&amp;""&amp;A22</f>
        <v>prf_mdot_mon_oc_rest_gamble_v7_minispin</v>
      </c>
      <c r="J22" t="str">
        <f>$A$34&amp;""&amp;A22</f>
        <v>prf_mdot_mon_oc_rest_gamble_v15_minispin</v>
      </c>
      <c r="K22" t="str">
        <f>$A$35&amp;""&amp;A22</f>
        <v>prf_mdot_mon_oc_rest_gamble_v16_minispin</v>
      </c>
      <c r="L22" t="str">
        <f t="shared" si="4"/>
        <v>prf_mdot_mon_oc_rest_gamble_2B_v5_minispin</v>
      </c>
    </row>
    <row r="23" spans="1:16" x14ac:dyDescent="0.2">
      <c r="A23" t="s">
        <v>89</v>
      </c>
      <c r="B23" t="s">
        <v>150</v>
      </c>
      <c r="F23" s="5"/>
      <c r="M23" t="str">
        <f>$A$37&amp;""&amp;A23</f>
        <v>prf_mdot_oc_t_rest_4R_v9_gad7</v>
      </c>
      <c r="N23" t="str">
        <f t="shared" si="10"/>
        <v>prf_mdot_oc_t_rest_2R_gamble_v9_gad7</v>
      </c>
      <c r="O23" t="str">
        <f t="shared" si="11"/>
        <v>prf_mdot_oc_t_rest_2R_gamble_v10_gad7</v>
      </c>
      <c r="P23" t="str">
        <f>$A$40&amp;""&amp;A23</f>
        <v>prf_mdot_oct_rest_2R_gamble_v6_gad7</v>
      </c>
    </row>
    <row r="24" spans="1:16" x14ac:dyDescent="0.2">
      <c r="A24" t="s">
        <v>90</v>
      </c>
      <c r="B24" t="s">
        <v>152</v>
      </c>
      <c r="C24" t="str">
        <f>$A$26&amp;""&amp;A24</f>
        <v>prf_mdot_rest_vm_gamble_pilot_v9v11_consent</v>
      </c>
      <c r="F24" s="5"/>
      <c r="H24" t="str">
        <f t="shared" ref="H24" si="14">$A$32&amp;""&amp;A24</f>
        <v>prf_mdot_oc_rest_only_v4_consent</v>
      </c>
      <c r="I24" t="str">
        <f>$A$33&amp;""&amp;A24</f>
        <v>prf_mdot_mon_oc_rest_gamble_v7_consent</v>
      </c>
      <c r="J24" t="str">
        <f t="shared" ref="J24" si="15">$A$34&amp;""&amp;A24</f>
        <v>prf_mdot_mon_oc_rest_gamble_v15_consent</v>
      </c>
      <c r="K24" t="str">
        <f t="shared" ref="K24" si="16">$A$35&amp;""&amp;A24</f>
        <v>prf_mdot_mon_oc_rest_gamble_v16_consent</v>
      </c>
      <c r="L24" t="str">
        <f t="shared" ref="L24" si="17">$A$36&amp;""&amp;A24</f>
        <v>prf_mdot_mon_oc_rest_gamble_2B_v5_consent</v>
      </c>
      <c r="M24" t="str">
        <f>$A$37&amp;""&amp;A24</f>
        <v>prf_mdot_oc_t_rest_4R_v9_consent</v>
      </c>
      <c r="N24" t="str">
        <f t="shared" si="10"/>
        <v>prf_mdot_oc_t_rest_2R_gamble_v9_consent</v>
      </c>
      <c r="O24" t="str">
        <f t="shared" si="11"/>
        <v>prf_mdot_oc_t_rest_2R_gamble_v10_consent</v>
      </c>
      <c r="P24" t="str">
        <f>$A$40&amp;""&amp;A24</f>
        <v>prf_mdot_oct_rest_2R_gamble_v6_consent</v>
      </c>
    </row>
    <row r="25" spans="1:16" x14ac:dyDescent="0.2">
      <c r="A25" s="4" t="s">
        <v>50</v>
      </c>
    </row>
    <row r="26" spans="1:16" x14ac:dyDescent="0.2">
      <c r="A26" t="s">
        <v>181</v>
      </c>
    </row>
    <row r="27" spans="1:16" x14ac:dyDescent="0.2">
      <c r="A27" t="s">
        <v>38</v>
      </c>
    </row>
    <row r="28" spans="1:16" x14ac:dyDescent="0.2">
      <c r="A28" t="s">
        <v>39</v>
      </c>
    </row>
    <row r="29" spans="1:16" x14ac:dyDescent="0.2">
      <c r="A29" t="s">
        <v>91</v>
      </c>
    </row>
    <row r="30" spans="1:16" x14ac:dyDescent="0.2">
      <c r="A30" t="s">
        <v>92</v>
      </c>
    </row>
    <row r="31" spans="1:16" x14ac:dyDescent="0.2">
      <c r="A31" t="s">
        <v>44</v>
      </c>
    </row>
    <row r="32" spans="1:16" x14ac:dyDescent="0.2">
      <c r="A32" t="s">
        <v>73</v>
      </c>
    </row>
    <row r="33" spans="1:2" x14ac:dyDescent="0.2">
      <c r="A33" t="s">
        <v>94</v>
      </c>
      <c r="B33" t="s">
        <v>96</v>
      </c>
    </row>
    <row r="34" spans="1:2" x14ac:dyDescent="0.2">
      <c r="A34" t="s">
        <v>76</v>
      </c>
    </row>
    <row r="35" spans="1:2" x14ac:dyDescent="0.2">
      <c r="A35" t="s">
        <v>77</v>
      </c>
    </row>
    <row r="36" spans="1:2" x14ac:dyDescent="0.2">
      <c r="A36" t="s">
        <v>80</v>
      </c>
    </row>
    <row r="37" spans="1:2" x14ac:dyDescent="0.2">
      <c r="A37" t="s">
        <v>88</v>
      </c>
    </row>
    <row r="38" spans="1:2" x14ac:dyDescent="0.2">
      <c r="A38" t="s">
        <v>102</v>
      </c>
      <c r="B38" t="s">
        <v>112</v>
      </c>
    </row>
    <row r="39" spans="1:2" x14ac:dyDescent="0.2">
      <c r="A39" t="s">
        <v>103</v>
      </c>
      <c r="B39" t="s">
        <v>112</v>
      </c>
    </row>
    <row r="40" spans="1:2" x14ac:dyDescent="0.2">
      <c r="A40" t="s">
        <v>110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Biria, Marjan</dc:creator>
  <cp:lastModifiedBy>RIDLER, Isobel (NORTH LONDON NHS FOUNDATION TRUST)</cp:lastModifiedBy>
  <dcterms:created xsi:type="dcterms:W3CDTF">2023-10-04T12:47:10Z</dcterms:created>
  <dcterms:modified xsi:type="dcterms:W3CDTF">2025-09-19T13:02:00Z</dcterms:modified>
</cp:coreProperties>
</file>